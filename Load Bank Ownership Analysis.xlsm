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3.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threadedComments/threadedComment7.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capitolpowergroup-my.sharepoint.com/personal/jason_keyser_cpgbeyond_com/Documents/Documents/Ben Projects/Rental Equipment/Load Bank Analysis/"/>
    </mc:Choice>
  </mc:AlternateContent>
  <xr:revisionPtr revIDLastSave="9813" documentId="14_{649C81AB-6A60-4F42-80E3-6226A30D226E}" xr6:coauthVersionLast="47" xr6:coauthVersionMax="47" xr10:uidLastSave="{BB57EC00-C489-41C1-BC8E-0CCC48F8D860}"/>
  <bookViews>
    <workbookView xWindow="-120" yWindow="-120" windowWidth="25440" windowHeight="15270" tabRatio="601" firstSheet="2" activeTab="2" xr2:uid="{A2A2209D-4B1F-4F18-89AB-D7B9D57F9F44}"/>
  </bookViews>
  <sheets>
    <sheet name="Cover Page" sheetId="2" r:id="rId1"/>
    <sheet name="IS Analysis Full" sheetId="14" state="hidden" r:id="rId2"/>
    <sheet name="Assumptions" sheetId="32" r:id="rId3"/>
    <sheet name="IS Old" sheetId="31" state="hidden" r:id="rId4"/>
    <sheet name="IS Analysis" sheetId="39" r:id="rId5"/>
    <sheet name="Cash Flow Analysis" sheetId="38" r:id="rId6"/>
    <sheet name="Cash Flow Old" sheetId="15" state="hidden" r:id="rId7"/>
    <sheet name="MACRS DEP Tables" sheetId="21" state="hidden" r:id="rId8"/>
    <sheet name="Master Tab" sheetId="3" r:id="rId9"/>
    <sheet name="Cost of Ownership Calculation" sheetId="4" r:id="rId10"/>
    <sheet name="Gant Chart Old" sheetId="12" state="hidden" r:id="rId11"/>
    <sheet name="Dynamic Tracking Chart" sheetId="24" r:id="rId12"/>
    <sheet name="Growth Rate Predictions" sheetId="37" r:id="rId13"/>
    <sheet name="Data Center Job Stats" sheetId="9" r:id="rId14"/>
    <sheet name="Outfit Job Stats" sheetId="23" r:id="rId15"/>
    <sheet name="Maintenance" sheetId="34" r:id="rId16"/>
    <sheet name="US Data Center Statistics" sheetId="33" r:id="rId17"/>
    <sheet name="Helper Sheet" sheetId="18" state="hidden" r:id="rId18"/>
    <sheet name="Maintenance Oldl" sheetId="29" state="hidden" r:id="rId19"/>
    <sheet name="Load Bank Pricing Breakdown" sheetId="27" r:id="rId20"/>
    <sheet name="Accessory Needs Breakdown" sheetId="26" r:id="rId21"/>
    <sheet name="Accessories" sheetId="16" state="hidden" r:id="rId22"/>
    <sheet name="Alternative Accessory Pricing" sheetId="28" r:id="rId23"/>
    <sheet name="Load Bank Specs Breakdown" sheetId="13" r:id="rId24"/>
    <sheet name="Shipping Quotes" sheetId="19" r:id="rId25"/>
    <sheet name="CYS08 Load Bank Stats" sheetId="6" r:id="rId26"/>
    <sheet name="SAT 46 Load Bank Stats" sheetId="8" r:id="rId27"/>
    <sheet name="SAT 46 LB CO" sheetId="30" state="hidden" r:id="rId28"/>
    <sheet name="Fedora Manassas Load Bank Stats" sheetId="7" r:id="rId29"/>
    <sheet name="Fedora Ft. Worth Load Bank Stat" sheetId="20" r:id="rId30"/>
    <sheet name="SAT 46 LB CO #2" sheetId="36" state="hidden" r:id="rId31"/>
    <sheet name="Storage Analysis" sheetId="10" state="hidden" r:id="rId32"/>
    <sheet name="IS Analysis Isolated" sheetId="17" state="hidden" r:id="rId33"/>
  </sheets>
  <functionGroups builtInGroupCount="19"/>
  <definedNames>
    <definedName name="OpenSolver_ChosenSolver" localSheetId="11" hidden="1">CBC</definedName>
    <definedName name="OpenSolver_ChosenSolver" localSheetId="10" hidden="1">CBC</definedName>
    <definedName name="OpenSolver_DualsNewSheet" localSheetId="11" hidden="1">0</definedName>
    <definedName name="OpenSolver_DualsNewSheet" localSheetId="10" hidden="1">0</definedName>
    <definedName name="OpenSolver_LinearityCheck" localSheetId="11" hidden="1">1</definedName>
    <definedName name="OpenSolver_LinearityCheck" localSheetId="10" hidden="1">1</definedName>
    <definedName name="OpenSolver_UpdateSensitivity" localSheetId="11" hidden="1">1</definedName>
    <definedName name="OpenSolver_UpdateSensitivity" localSheetId="10" hidden="1">1</definedName>
    <definedName name="solver_adj" localSheetId="11" hidden="1">'Dynamic Tracking Chart'!$H$19:$BG$21</definedName>
    <definedName name="solver_adj" localSheetId="10" hidden="1">'Gant Chart Old'!$G$11:$BF$18</definedName>
    <definedName name="solver_cvg" localSheetId="11" hidden="1">0.0001</definedName>
    <definedName name="solver_cvg" localSheetId="10" hidden="1">0.0001</definedName>
    <definedName name="solver_drv" localSheetId="11" hidden="1">1</definedName>
    <definedName name="solver_drv" localSheetId="10" hidden="1">1</definedName>
    <definedName name="solver_eng" localSheetId="11" hidden="1">2</definedName>
    <definedName name="solver_eng" localSheetId="10" hidden="1">2</definedName>
    <definedName name="solver_est" localSheetId="11" hidden="1">1</definedName>
    <definedName name="solver_est" localSheetId="10" hidden="1">1</definedName>
    <definedName name="solver_itr" localSheetId="11" hidden="1">2147483647</definedName>
    <definedName name="solver_itr" localSheetId="10" hidden="1">2147483647</definedName>
    <definedName name="solver_lhs1" localSheetId="11" hidden="1">'Dynamic Tracking Chart'!$H$19:$BG$21</definedName>
    <definedName name="solver_lhs1" localSheetId="10" hidden="1">'Gant Chart Old'!$G$11:$BF$18</definedName>
    <definedName name="solver_lhs2" localSheetId="11" hidden="1">'Dynamic Tracking Chart'!#REF!</definedName>
    <definedName name="solver_lhs2" localSheetId="10" hidden="1">'Gant Chart Old'!$G$20:$BF$20</definedName>
    <definedName name="solver_lhs3" localSheetId="11" hidden="1">'Dynamic Tracking Chart'!$H$58:$BG$58</definedName>
    <definedName name="solver_lhs3" localSheetId="10" hidden="1">'Gant Chart Old'!$G$23:$BF$23</definedName>
    <definedName name="solver_lhs4" localSheetId="11" hidden="1">'Dynamic Tracking Chart'!#REF!</definedName>
    <definedName name="solver_lhs4" localSheetId="10" hidden="1">'Gant Chart Old'!$G$18:$BF$18</definedName>
    <definedName name="solver_lhs5" localSheetId="11" hidden="1">'Dynamic Tracking Chart'!#REF!</definedName>
    <definedName name="solver_lhs5" localSheetId="10" hidden="1">'Gant Chart Old'!$G$17:$BF$17</definedName>
    <definedName name="solver_lhs6" localSheetId="11" hidden="1">'Dynamic Tracking Chart'!$G$21</definedName>
    <definedName name="solver_lhs6" localSheetId="10" hidden="1">'Gant Chart Old'!$F$13</definedName>
    <definedName name="solver_lhs7" localSheetId="11" hidden="1">'Dynamic Tracking Chart'!#REF!</definedName>
    <definedName name="solver_lhs7" localSheetId="10" hidden="1">'Gant Chart Old'!$F$14</definedName>
    <definedName name="solver_lhs8" localSheetId="11" hidden="1">'Dynamic Tracking Chart'!#REF!</definedName>
    <definedName name="solver_lhs8" localSheetId="10" hidden="1">'Gant Chart Old'!$F$15</definedName>
    <definedName name="solver_mip" localSheetId="11" hidden="1">2147483647</definedName>
    <definedName name="solver_mip" localSheetId="10" hidden="1">2147483647</definedName>
    <definedName name="solver_mni" localSheetId="11" hidden="1">30</definedName>
    <definedName name="solver_mni" localSheetId="10" hidden="1">30</definedName>
    <definedName name="solver_mrt" localSheetId="11" hidden="1">0.075</definedName>
    <definedName name="solver_mrt" localSheetId="10" hidden="1">0.075</definedName>
    <definedName name="solver_msl" localSheetId="11" hidden="1">2</definedName>
    <definedName name="solver_msl" localSheetId="10" hidden="1">2</definedName>
    <definedName name="solver_neg" localSheetId="11" hidden="1">1</definedName>
    <definedName name="solver_neg" localSheetId="10" hidden="1">1</definedName>
    <definedName name="solver_nod" localSheetId="11" hidden="1">2147483647</definedName>
    <definedName name="solver_nod" localSheetId="10" hidden="1">2147483647</definedName>
    <definedName name="solver_num" localSheetId="11" hidden="1">8</definedName>
    <definedName name="solver_num" localSheetId="10" hidden="1">8</definedName>
    <definedName name="solver_nwt" localSheetId="11" hidden="1">1</definedName>
    <definedName name="solver_nwt" localSheetId="10" hidden="1">1</definedName>
    <definedName name="solver_opt" localSheetId="11" hidden="1">'Dynamic Tracking Chart'!$P$5</definedName>
    <definedName name="solver_opt" localSheetId="10" hidden="1">'Gant Chart Old'!$O$5</definedName>
    <definedName name="solver_pre" localSheetId="11" hidden="1">0.000001</definedName>
    <definedName name="solver_pre" localSheetId="10" hidden="1">0.000001</definedName>
    <definedName name="solver_rbv" localSheetId="11" hidden="1">1</definedName>
    <definedName name="solver_rbv" localSheetId="10" hidden="1">1</definedName>
    <definedName name="solver_rel1" localSheetId="11" hidden="1">4</definedName>
    <definedName name="solver_rel1" localSheetId="10" hidden="1">4</definedName>
    <definedName name="solver_rel2" localSheetId="11" hidden="1">1</definedName>
    <definedName name="solver_rel2" localSheetId="10" hidden="1">1</definedName>
    <definedName name="solver_rel3" localSheetId="11" hidden="1">2</definedName>
    <definedName name="solver_rel3" localSheetId="10" hidden="1">2</definedName>
    <definedName name="solver_rel4" localSheetId="11" hidden="1">1</definedName>
    <definedName name="solver_rel4" localSheetId="10" hidden="1">1</definedName>
    <definedName name="solver_rel5" localSheetId="11" hidden="1">1</definedName>
    <definedName name="solver_rel5" localSheetId="10" hidden="1">1</definedName>
    <definedName name="solver_rel6" localSheetId="11" hidden="1">3</definedName>
    <definedName name="solver_rel6" localSheetId="10" hidden="1">3</definedName>
    <definedName name="solver_rel7" localSheetId="11" hidden="1">3</definedName>
    <definedName name="solver_rel7" localSheetId="10" hidden="1">3</definedName>
    <definedName name="solver_rel8" localSheetId="11" hidden="1">3</definedName>
    <definedName name="solver_rel8" localSheetId="10" hidden="1">3</definedName>
    <definedName name="solver_rhs1" localSheetId="11" hidden="1">integer</definedName>
    <definedName name="solver_rhs1" localSheetId="10" hidden="1">integer</definedName>
    <definedName name="solver_rhs2" localSheetId="11" hidden="1">'Dynamic Tracking Chart'!#REF!</definedName>
    <definedName name="solver_rhs2" localSheetId="10" hidden="1">'Gant Chart Old'!#REF!</definedName>
    <definedName name="solver_rhs3" localSheetId="11" hidden="1">'Dynamic Tracking Chart'!#REF!</definedName>
    <definedName name="solver_rhs3" localSheetId="10" hidden="1">'Gant Chart Old'!#REF!</definedName>
    <definedName name="solver_rhs4" localSheetId="11" hidden="1">'Dynamic Tracking Chart'!$J$4</definedName>
    <definedName name="solver_rhs4" localSheetId="10" hidden="1">'Gant Chart Old'!$I$4</definedName>
    <definedName name="solver_rhs5" localSheetId="11" hidden="1">'Dynamic Tracking Chart'!$J$5</definedName>
    <definedName name="solver_rhs5" localSheetId="10" hidden="1">'Gant Chart Old'!$I$5</definedName>
    <definedName name="solver_rhs6" localSheetId="11" hidden="1">'Dynamic Tracking Chart'!#REF!</definedName>
    <definedName name="solver_rhs6" localSheetId="10" hidden="1">'Gant Chart Old'!#REF!</definedName>
    <definedName name="solver_rhs7" localSheetId="11" hidden="1">'Dynamic Tracking Chart'!#REF!</definedName>
    <definedName name="solver_rhs7" localSheetId="10" hidden="1">'Gant Chart Old'!#REF!</definedName>
    <definedName name="solver_rhs8" localSheetId="11" hidden="1">'Dynamic Tracking Chart'!#REF!</definedName>
    <definedName name="solver_rhs8" localSheetId="10" hidden="1">'Gant Chart Old'!#REF!</definedName>
    <definedName name="solver_rlx" localSheetId="11" hidden="1">2</definedName>
    <definedName name="solver_rlx" localSheetId="10" hidden="1">2</definedName>
    <definedName name="solver_rsd" localSheetId="11" hidden="1">0</definedName>
    <definedName name="solver_rsd" localSheetId="10" hidden="1">0</definedName>
    <definedName name="solver_scl" localSheetId="11" hidden="1">1</definedName>
    <definedName name="solver_scl" localSheetId="10" hidden="1">1</definedName>
    <definedName name="solver_sho" localSheetId="11" hidden="1">0</definedName>
    <definedName name="solver_sho" localSheetId="10" hidden="1">0</definedName>
    <definedName name="solver_ssz" localSheetId="11" hidden="1">100</definedName>
    <definedName name="solver_ssz" localSheetId="10" hidden="1">100</definedName>
    <definedName name="solver_tim" localSheetId="11" hidden="1">2147483647</definedName>
    <definedName name="solver_tim" localSheetId="10" hidden="1">2147483647</definedName>
    <definedName name="solver_tol" localSheetId="11" hidden="1">0.01</definedName>
    <definedName name="solver_tol" localSheetId="10" hidden="1">0.01</definedName>
    <definedName name="solver_typ" localSheetId="11" hidden="1">1</definedName>
    <definedName name="solver_typ" localSheetId="10" hidden="1">1</definedName>
    <definedName name="solver_val" localSheetId="11" hidden="1">0</definedName>
    <definedName name="solver_val" localSheetId="10" hidden="1">0</definedName>
    <definedName name="solver_ver" localSheetId="11" hidden="1">3</definedName>
    <definedName name="solver_ver" localSheetId="1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5" i="24" l="1"/>
  <c r="C8" i="38"/>
  <c r="C9" i="39"/>
  <c r="C4" i="39"/>
  <c r="I35" i="4"/>
  <c r="D53" i="32" l="1"/>
  <c r="C53" i="32"/>
  <c r="B53" i="32"/>
  <c r="C56" i="8"/>
  <c r="C60" i="8"/>
  <c r="AA9" i="6"/>
  <c r="AA17" i="6" s="1"/>
  <c r="B7" i="9" s="1"/>
  <c r="X40" i="37" l="1"/>
  <c r="W40" i="37"/>
  <c r="V40" i="37"/>
  <c r="U40" i="37"/>
  <c r="T40" i="37"/>
  <c r="S40" i="37"/>
  <c r="R40" i="37"/>
  <c r="Q40" i="37"/>
  <c r="P40" i="37"/>
  <c r="O40" i="37"/>
  <c r="N40" i="37"/>
  <c r="M40" i="37"/>
  <c r="L40" i="37"/>
  <c r="K40" i="37"/>
  <c r="J40" i="37"/>
  <c r="I40" i="37"/>
  <c r="H40" i="37"/>
  <c r="G40" i="37"/>
  <c r="F40" i="37"/>
  <c r="E40" i="37"/>
  <c r="X39" i="37"/>
  <c r="W39" i="37"/>
  <c r="V39" i="37"/>
  <c r="U39" i="37"/>
  <c r="T39" i="37"/>
  <c r="S39" i="37"/>
  <c r="R39" i="37"/>
  <c r="Q39" i="37"/>
  <c r="P39" i="37"/>
  <c r="O39" i="37"/>
  <c r="N39" i="37"/>
  <c r="M39" i="37"/>
  <c r="L39" i="37"/>
  <c r="K39" i="37"/>
  <c r="J39" i="37"/>
  <c r="I39" i="37"/>
  <c r="H39" i="37"/>
  <c r="G39" i="37"/>
  <c r="F39" i="37"/>
  <c r="E39" i="37"/>
  <c r="D39" i="37"/>
  <c r="X38" i="37"/>
  <c r="W38" i="37"/>
  <c r="V38" i="37"/>
  <c r="U38" i="37"/>
  <c r="T38" i="37"/>
  <c r="S38" i="37"/>
  <c r="R38" i="37"/>
  <c r="Q38" i="37"/>
  <c r="P38" i="37"/>
  <c r="O38" i="37"/>
  <c r="N38" i="37"/>
  <c r="M38" i="37"/>
  <c r="L38" i="37"/>
  <c r="K38" i="37"/>
  <c r="J38" i="37"/>
  <c r="I38" i="37"/>
  <c r="H38" i="37"/>
  <c r="G38" i="37"/>
  <c r="F38" i="37"/>
  <c r="E38" i="37"/>
  <c r="D38" i="37"/>
  <c r="X37" i="37"/>
  <c r="W37" i="37"/>
  <c r="V37" i="37"/>
  <c r="U37" i="37"/>
  <c r="T37" i="37"/>
  <c r="S37" i="37"/>
  <c r="R37" i="37"/>
  <c r="Q37" i="37"/>
  <c r="P37" i="37"/>
  <c r="O37" i="37"/>
  <c r="N37" i="37"/>
  <c r="M37" i="37"/>
  <c r="L37" i="37"/>
  <c r="K37" i="37"/>
  <c r="J37" i="37"/>
  <c r="I37" i="37"/>
  <c r="H37" i="37"/>
  <c r="G37" i="37"/>
  <c r="F37" i="37"/>
  <c r="E37" i="37"/>
  <c r="D37" i="37"/>
  <c r="X36" i="37"/>
  <c r="W36" i="37"/>
  <c r="V36" i="37"/>
  <c r="U36" i="37"/>
  <c r="T36" i="37"/>
  <c r="S36" i="37"/>
  <c r="R36" i="37"/>
  <c r="Q36" i="37"/>
  <c r="P36" i="37"/>
  <c r="O36" i="37"/>
  <c r="N36" i="37"/>
  <c r="M36" i="37"/>
  <c r="L36" i="37"/>
  <c r="K36" i="37"/>
  <c r="J36" i="37"/>
  <c r="I36" i="37"/>
  <c r="H36" i="37"/>
  <c r="G36" i="37"/>
  <c r="F36" i="37"/>
  <c r="E36" i="37"/>
  <c r="D36" i="37"/>
  <c r="D40" i="37"/>
  <c r="D26" i="37"/>
  <c r="X30" i="37"/>
  <c r="W30" i="37"/>
  <c r="V30" i="37"/>
  <c r="U30" i="37"/>
  <c r="T30" i="37"/>
  <c r="S30" i="37"/>
  <c r="R30" i="37"/>
  <c r="Q30" i="37"/>
  <c r="P30" i="37"/>
  <c r="O30" i="37"/>
  <c r="N30" i="37"/>
  <c r="M30" i="37"/>
  <c r="L30" i="37"/>
  <c r="K30" i="37"/>
  <c r="D17" i="32" s="1"/>
  <c r="J30" i="37"/>
  <c r="I30" i="37"/>
  <c r="H30" i="37"/>
  <c r="G30" i="37"/>
  <c r="F30" i="37"/>
  <c r="E30" i="37"/>
  <c r="X29" i="37"/>
  <c r="W29" i="37"/>
  <c r="V29" i="37"/>
  <c r="U29" i="37"/>
  <c r="T29" i="37"/>
  <c r="S29" i="37"/>
  <c r="R29" i="37"/>
  <c r="Q29" i="37"/>
  <c r="P29" i="37"/>
  <c r="O29" i="37"/>
  <c r="N29" i="37"/>
  <c r="M29" i="37"/>
  <c r="L29" i="37"/>
  <c r="K29" i="37"/>
  <c r="J29" i="37"/>
  <c r="I29" i="37"/>
  <c r="H29" i="37"/>
  <c r="G29" i="37"/>
  <c r="D16" i="32" s="1"/>
  <c r="F29" i="37"/>
  <c r="E29" i="37"/>
  <c r="D29" i="37"/>
  <c r="X28" i="37"/>
  <c r="W28" i="37"/>
  <c r="V28" i="37"/>
  <c r="U28" i="37"/>
  <c r="T28" i="37"/>
  <c r="S28" i="37"/>
  <c r="R28" i="37"/>
  <c r="Q28" i="37"/>
  <c r="P28" i="37"/>
  <c r="O28" i="37"/>
  <c r="N28" i="37"/>
  <c r="M28" i="37"/>
  <c r="L28" i="37"/>
  <c r="K28" i="37"/>
  <c r="J28" i="37"/>
  <c r="I28" i="37"/>
  <c r="H28" i="37"/>
  <c r="G28" i="37"/>
  <c r="F28" i="37"/>
  <c r="E28" i="37"/>
  <c r="D28" i="37"/>
  <c r="D15" i="32" s="1"/>
  <c r="X27" i="37"/>
  <c r="W27" i="37"/>
  <c r="V27" i="37"/>
  <c r="U27" i="37"/>
  <c r="T27" i="37"/>
  <c r="S27" i="37"/>
  <c r="R27" i="37"/>
  <c r="Q27" i="37"/>
  <c r="P27" i="37"/>
  <c r="O27" i="37"/>
  <c r="N27" i="37"/>
  <c r="M27" i="37"/>
  <c r="L27" i="37"/>
  <c r="K27" i="37"/>
  <c r="J27" i="37"/>
  <c r="I27" i="37"/>
  <c r="D14" i="32" s="1"/>
  <c r="H27" i="37"/>
  <c r="G27" i="37"/>
  <c r="F27" i="37"/>
  <c r="E27" i="37"/>
  <c r="D27" i="37"/>
  <c r="X26" i="37"/>
  <c r="W26" i="37"/>
  <c r="V26" i="37"/>
  <c r="U26" i="37"/>
  <c r="T26" i="37"/>
  <c r="S26" i="37"/>
  <c r="R26" i="37"/>
  <c r="Q26" i="37"/>
  <c r="P26" i="37"/>
  <c r="O26" i="37"/>
  <c r="N26" i="37"/>
  <c r="M26" i="37"/>
  <c r="L26" i="37"/>
  <c r="K26" i="37"/>
  <c r="J26" i="37"/>
  <c r="I26" i="37"/>
  <c r="H26" i="37"/>
  <c r="G26" i="37"/>
  <c r="F26" i="37"/>
  <c r="D13" i="32" s="1"/>
  <c r="E26" i="37"/>
  <c r="D30" i="37"/>
  <c r="C38" i="39"/>
  <c r="C39" i="39" s="1"/>
  <c r="C40" i="39" s="1"/>
  <c r="C32" i="39"/>
  <c r="AB30" i="39"/>
  <c r="AA30" i="39"/>
  <c r="Z30" i="39"/>
  <c r="Y30" i="39"/>
  <c r="X30" i="39"/>
  <c r="W30" i="39"/>
  <c r="C21" i="39"/>
  <c r="C13" i="39"/>
  <c r="C17" i="32"/>
  <c r="C24" i="39" s="1"/>
  <c r="C16" i="32"/>
  <c r="C23" i="39" s="1"/>
  <c r="C15" i="32"/>
  <c r="C25" i="39" s="1"/>
  <c r="C14" i="32"/>
  <c r="C22" i="39" s="1"/>
  <c r="C13" i="32"/>
  <c r="C21" i="31" s="1"/>
  <c r="C24" i="38"/>
  <c r="C23" i="38"/>
  <c r="C27" i="38"/>
  <c r="C20" i="38"/>
  <c r="C13" i="38"/>
  <c r="C4" i="38"/>
  <c r="I19" i="37"/>
  <c r="J19" i="37"/>
  <c r="K19" i="37"/>
  <c r="L19" i="37"/>
  <c r="M19" i="37"/>
  <c r="N19" i="37"/>
  <c r="O19" i="37"/>
  <c r="P19" i="37"/>
  <c r="Q19" i="37"/>
  <c r="R19" i="37"/>
  <c r="S19" i="37"/>
  <c r="T19" i="37"/>
  <c r="U19" i="37"/>
  <c r="V19" i="37"/>
  <c r="W19" i="37"/>
  <c r="X19" i="37"/>
  <c r="H19" i="37"/>
  <c r="E19" i="37"/>
  <c r="F19" i="37"/>
  <c r="G19" i="37"/>
  <c r="D19" i="37"/>
  <c r="I16" i="37"/>
  <c r="J16" i="37"/>
  <c r="K16" i="37"/>
  <c r="L16" i="37"/>
  <c r="M16" i="37"/>
  <c r="N16" i="37"/>
  <c r="O16" i="37"/>
  <c r="P16" i="37"/>
  <c r="Q16" i="37"/>
  <c r="R16" i="37"/>
  <c r="S16" i="37"/>
  <c r="T16" i="37"/>
  <c r="U16" i="37"/>
  <c r="V16" i="37"/>
  <c r="W16" i="37"/>
  <c r="X16" i="37"/>
  <c r="H16" i="37"/>
  <c r="E16" i="37"/>
  <c r="F16" i="37"/>
  <c r="G16" i="37"/>
  <c r="D16" i="37"/>
  <c r="K20" i="37"/>
  <c r="L20" i="37"/>
  <c r="M20" i="37"/>
  <c r="N20" i="37"/>
  <c r="O20" i="37"/>
  <c r="P20" i="37"/>
  <c r="Q20" i="37"/>
  <c r="R20" i="37"/>
  <c r="S20" i="37"/>
  <c r="T20" i="37"/>
  <c r="U20" i="37"/>
  <c r="V20" i="37"/>
  <c r="W20" i="37"/>
  <c r="X20" i="37"/>
  <c r="J20" i="37"/>
  <c r="F18" i="37"/>
  <c r="G18" i="37"/>
  <c r="H18" i="37"/>
  <c r="I18" i="37"/>
  <c r="J18" i="37"/>
  <c r="K18" i="37"/>
  <c r="L18" i="37"/>
  <c r="M18" i="37"/>
  <c r="N18" i="37"/>
  <c r="O18" i="37"/>
  <c r="P18" i="37"/>
  <c r="Q18" i="37"/>
  <c r="R18" i="37"/>
  <c r="S18" i="37"/>
  <c r="T18" i="37"/>
  <c r="U18" i="37"/>
  <c r="V18" i="37"/>
  <c r="W18" i="37"/>
  <c r="X18" i="37"/>
  <c r="E18" i="37"/>
  <c r="F17" i="37"/>
  <c r="G17" i="37"/>
  <c r="H17" i="37"/>
  <c r="I17" i="37"/>
  <c r="J17" i="37"/>
  <c r="K17" i="37"/>
  <c r="L17" i="37"/>
  <c r="M17" i="37"/>
  <c r="N17" i="37"/>
  <c r="O17" i="37"/>
  <c r="P17" i="37"/>
  <c r="Q17" i="37"/>
  <c r="R17" i="37"/>
  <c r="S17" i="37"/>
  <c r="T17" i="37"/>
  <c r="U17" i="37"/>
  <c r="V17" i="37"/>
  <c r="W17" i="37"/>
  <c r="X17" i="37"/>
  <c r="E17" i="37"/>
  <c r="C39" i="9"/>
  <c r="J15" i="8"/>
  <c r="J13" i="8"/>
  <c r="J12" i="8"/>
  <c r="J11" i="8"/>
  <c r="I9" i="36"/>
  <c r="J10" i="36"/>
  <c r="H10" i="36"/>
  <c r="D31" i="36"/>
  <c r="D21" i="36"/>
  <c r="H11" i="36"/>
  <c r="D3" i="36"/>
  <c r="D2" i="36"/>
  <c r="D4" i="36" s="1"/>
  <c r="H9" i="36" s="1"/>
  <c r="I34" i="4"/>
  <c r="H34" i="4"/>
  <c r="D3" i="18" a="1"/>
  <c r="D4" i="18" a="1"/>
  <c r="AB25" i="39" l="1"/>
  <c r="AB22" i="39"/>
  <c r="AA9" i="38"/>
  <c r="D4" i="18"/>
  <c r="D3" i="18"/>
  <c r="B16" i="32"/>
  <c r="B13" i="32"/>
  <c r="B14" i="32"/>
  <c r="B15" i="32"/>
  <c r="B17" i="32"/>
  <c r="C25" i="38"/>
  <c r="C26" i="38"/>
  <c r="AB16" i="39"/>
  <c r="AB27" i="39"/>
  <c r="AB24" i="39"/>
  <c r="AB15" i="39"/>
  <c r="AB23" i="39"/>
  <c r="AB13" i="39"/>
  <c r="AB10" i="39"/>
  <c r="AB29" i="39"/>
  <c r="I30" i="39"/>
  <c r="AB17" i="39"/>
  <c r="L30" i="39"/>
  <c r="N30" i="39"/>
  <c r="AB8" i="39"/>
  <c r="O30" i="39"/>
  <c r="AB14" i="39"/>
  <c r="AB9" i="39" s="1"/>
  <c r="W29" i="39"/>
  <c r="W31" i="39" s="1"/>
  <c r="Z29" i="39"/>
  <c r="Z31" i="39" s="1"/>
  <c r="T30" i="39"/>
  <c r="G30" i="39"/>
  <c r="H30" i="39" s="1"/>
  <c r="AB20" i="39"/>
  <c r="P30" i="39"/>
  <c r="X29" i="39"/>
  <c r="X31" i="39" s="1"/>
  <c r="J30" i="39"/>
  <c r="R30" i="39"/>
  <c r="AB31" i="39"/>
  <c r="AB33" i="39"/>
  <c r="Y29" i="39"/>
  <c r="Y31" i="39" s="1"/>
  <c r="K30" i="39"/>
  <c r="S30" i="39"/>
  <c r="AA29" i="39"/>
  <c r="AA31" i="39" s="1"/>
  <c r="M30" i="39"/>
  <c r="U30" i="39"/>
  <c r="AA7" i="38"/>
  <c r="AA10" i="38"/>
  <c r="AA11" i="38"/>
  <c r="AA13" i="38"/>
  <c r="AA12" i="38"/>
  <c r="AA8" i="38"/>
  <c r="B44" i="9"/>
  <c r="D23" i="36"/>
  <c r="I10" i="36"/>
  <c r="J9" i="36"/>
  <c r="I11" i="36"/>
  <c r="J11" i="36" s="1"/>
  <c r="D33" i="36"/>
  <c r="D36" i="36" s="1"/>
  <c r="C4" i="3" l="1"/>
  <c r="F40" i="24"/>
  <c r="C5" i="3"/>
  <c r="N4" i="24"/>
  <c r="AA15" i="38"/>
  <c r="C25" i="31"/>
  <c r="C27" i="15"/>
  <c r="C41" i="24" l="1"/>
  <c r="F41" i="24"/>
  <c r="B63" i="34" l="1"/>
  <c r="E25" i="34"/>
  <c r="B48" i="34"/>
  <c r="F17" i="34"/>
  <c r="B14" i="34" l="1"/>
  <c r="P5" i="4" s="1"/>
  <c r="C24" i="32"/>
  <c r="D35" i="30" l="1"/>
  <c r="C38" i="31" l="1"/>
  <c r="C39" i="31" s="1"/>
  <c r="C40" i="31" s="1"/>
  <c r="C13" i="31"/>
  <c r="C32" i="31"/>
  <c r="C20" i="15"/>
  <c r="C13" i="15"/>
  <c r="C9" i="15"/>
  <c r="C10" i="3" s="1"/>
  <c r="C8" i="15"/>
  <c r="C9" i="3" s="1"/>
  <c r="I29" i="31" l="1"/>
  <c r="X9" i="15"/>
  <c r="Y9" i="15"/>
  <c r="Z9" i="15"/>
  <c r="W9" i="15"/>
  <c r="AA9" i="15"/>
  <c r="V9" i="15"/>
  <c r="AB14" i="31"/>
  <c r="AB23" i="31"/>
  <c r="AA10" i="15"/>
  <c r="AB15" i="31"/>
  <c r="AB9" i="31" s="1"/>
  <c r="B54" i="32" l="1"/>
  <c r="C54" i="32"/>
  <c r="D36" i="8"/>
  <c r="U5" i="24"/>
  <c r="AA29" i="6"/>
  <c r="AA28" i="6"/>
  <c r="U4" i="24"/>
  <c r="C4" i="31"/>
  <c r="C4" i="15"/>
  <c r="C24" i="15"/>
  <c r="C25" i="15"/>
  <c r="C26" i="15"/>
  <c r="C23" i="15"/>
  <c r="C29" i="15" l="1"/>
  <c r="C29" i="38"/>
  <c r="AA16" i="38" s="1"/>
  <c r="D54" i="32"/>
  <c r="C22" i="31"/>
  <c r="C23" i="31"/>
  <c r="C24" i="31"/>
  <c r="C25" i="32" l="1"/>
  <c r="D25" i="32"/>
  <c r="D24" i="32"/>
  <c r="D4" i="33"/>
  <c r="C5" i="33" s="1"/>
  <c r="B4" i="33"/>
  <c r="D5" i="33" l="1"/>
  <c r="C6" i="33" s="1"/>
  <c r="D6" i="33" l="1"/>
  <c r="C7" i="33" s="1"/>
  <c r="B5" i="33"/>
  <c r="B6" i="33" l="1"/>
  <c r="D7" i="33"/>
  <c r="C8" i="33" s="1"/>
  <c r="L15" i="20"/>
  <c r="M16" i="7"/>
  <c r="L16" i="20"/>
  <c r="M17" i="7"/>
  <c r="G7" i="33" l="1"/>
  <c r="B7" i="33"/>
  <c r="D8" i="33"/>
  <c r="C9" i="33" s="1"/>
  <c r="B8" i="33"/>
  <c r="J19" i="8"/>
  <c r="G4" i="33" l="1"/>
  <c r="G8" i="33"/>
  <c r="G5" i="33"/>
  <c r="G6" i="33"/>
  <c r="D9" i="33"/>
  <c r="C10" i="33" s="1"/>
  <c r="P26" i="4"/>
  <c r="P29" i="4"/>
  <c r="P28" i="4"/>
  <c r="P27" i="4"/>
  <c r="B10" i="33" l="1"/>
  <c r="D10" i="33"/>
  <c r="C11" i="33" s="1"/>
  <c r="B9" i="33"/>
  <c r="D11" i="33" l="1"/>
  <c r="C12" i="33" s="1"/>
  <c r="B11" i="33"/>
  <c r="D12" i="33" l="1"/>
  <c r="C13" i="33" s="1"/>
  <c r="X29" i="31"/>
  <c r="Y29" i="31"/>
  <c r="Z29" i="31"/>
  <c r="AA29" i="31"/>
  <c r="AB29" i="31"/>
  <c r="C9" i="31"/>
  <c r="C8" i="31"/>
  <c r="I10" i="14"/>
  <c r="I8" i="14"/>
  <c r="G30" i="14"/>
  <c r="C12" i="3"/>
  <c r="J39" i="14"/>
  <c r="I39" i="14"/>
  <c r="C21" i="14"/>
  <c r="C20" i="14"/>
  <c r="C19" i="14"/>
  <c r="C18" i="14"/>
  <c r="C5" i="14"/>
  <c r="B45" i="26"/>
  <c r="B33" i="26"/>
  <c r="P22" i="30"/>
  <c r="Q21" i="30" s="1"/>
  <c r="R21" i="30" s="1"/>
  <c r="Q22" i="30"/>
  <c r="P21" i="30"/>
  <c r="S6" i="30"/>
  <c r="S12" i="30" s="1"/>
  <c r="S7" i="30"/>
  <c r="J5" i="24"/>
  <c r="H11" i="30"/>
  <c r="H10" i="30"/>
  <c r="K6" i="8"/>
  <c r="K7" i="8" s="1"/>
  <c r="D21" i="30"/>
  <c r="D3" i="30"/>
  <c r="D2" i="30"/>
  <c r="K14" i="8"/>
  <c r="A6" i="4"/>
  <c r="A5" i="4"/>
  <c r="C14" i="14"/>
  <c r="C9" i="14"/>
  <c r="C10" i="14"/>
  <c r="K39" i="14"/>
  <c r="L39" i="14"/>
  <c r="M39" i="14"/>
  <c r="N39" i="14"/>
  <c r="O39" i="14"/>
  <c r="P39" i="14"/>
  <c r="Q39" i="14"/>
  <c r="R39" i="14"/>
  <c r="S39" i="14"/>
  <c r="T39" i="14"/>
  <c r="U39" i="14"/>
  <c r="V39" i="14"/>
  <c r="W39" i="14"/>
  <c r="X39" i="14"/>
  <c r="Y39" i="14"/>
  <c r="Z39" i="14"/>
  <c r="AA39" i="14"/>
  <c r="AB39" i="14"/>
  <c r="AC39" i="14"/>
  <c r="F45" i="29"/>
  <c r="F44" i="29"/>
  <c r="F43" i="29"/>
  <c r="E45" i="29"/>
  <c r="E44" i="29"/>
  <c r="E43" i="29"/>
  <c r="C45" i="29"/>
  <c r="C44" i="29"/>
  <c r="C43" i="29"/>
  <c r="B14" i="29"/>
  <c r="J4" i="24" l="1"/>
  <c r="C37" i="34"/>
  <c r="G37" i="34" s="1"/>
  <c r="D13" i="33"/>
  <c r="C14" i="33" s="1"/>
  <c r="B12" i="33"/>
  <c r="R21" i="4"/>
  <c r="R22" i="4"/>
  <c r="AB28" i="31"/>
  <c r="AA28" i="31"/>
  <c r="Z28" i="31"/>
  <c r="Y28" i="31"/>
  <c r="X28" i="31"/>
  <c r="J29" i="31"/>
  <c r="P29" i="31"/>
  <c r="O29" i="31"/>
  <c r="N29" i="31"/>
  <c r="U29" i="31"/>
  <c r="M29" i="31"/>
  <c r="T29" i="31"/>
  <c r="L29" i="31"/>
  <c r="S29" i="31"/>
  <c r="K29" i="31"/>
  <c r="C29" i="9"/>
  <c r="D4" i="30"/>
  <c r="J5" i="4"/>
  <c r="G23" i="4"/>
  <c r="G24" i="4"/>
  <c r="C7" i="29"/>
  <c r="A23" i="29" s="1"/>
  <c r="B23" i="29" s="1"/>
  <c r="J6" i="4"/>
  <c r="R20" i="4"/>
  <c r="R14" i="27"/>
  <c r="F46" i="29"/>
  <c r="D37" i="34" l="1"/>
  <c r="D14" i="33"/>
  <c r="C15" i="33" s="1"/>
  <c r="B14" i="33"/>
  <c r="B13" i="33"/>
  <c r="D23" i="30"/>
  <c r="D30" i="30" s="1"/>
  <c r="D32" i="30" s="1"/>
  <c r="H9" i="30"/>
  <c r="F47" i="29"/>
  <c r="F48" i="29" s="1"/>
  <c r="D46" i="37" l="1"/>
  <c r="D48" i="37" s="1"/>
  <c r="G36" i="4"/>
  <c r="I36" i="4" s="1"/>
  <c r="D38" i="34"/>
  <c r="F37" i="34"/>
  <c r="G20" i="4"/>
  <c r="H20" i="4"/>
  <c r="I7" i="3"/>
  <c r="N5" i="24"/>
  <c r="N6" i="24"/>
  <c r="B15" i="33"/>
  <c r="D15" i="33"/>
  <c r="C16" i="33" s="1"/>
  <c r="R22" i="30"/>
  <c r="I9" i="30"/>
  <c r="J9" i="30" s="1"/>
  <c r="I11" i="30"/>
  <c r="J11" i="30" s="1"/>
  <c r="K13" i="8" s="1"/>
  <c r="I10" i="30"/>
  <c r="J10" i="30" s="1"/>
  <c r="K12" i="8" s="1"/>
  <c r="G13" i="19"/>
  <c r="C7" i="19"/>
  <c r="G98" i="19" s="1"/>
  <c r="G107" i="19"/>
  <c r="K7" i="27"/>
  <c r="K23" i="27"/>
  <c r="K26" i="27"/>
  <c r="K24" i="27"/>
  <c r="K25" i="27"/>
  <c r="E10" i="27"/>
  <c r="E8" i="27"/>
  <c r="E30" i="27"/>
  <c r="E28" i="27"/>
  <c r="E25" i="27"/>
  <c r="E24" i="27"/>
  <c r="E22" i="27"/>
  <c r="C4" i="28"/>
  <c r="C5" i="28"/>
  <c r="C6" i="28"/>
  <c r="C3" i="28"/>
  <c r="E29" i="27"/>
  <c r="E23" i="27"/>
  <c r="E7" i="27"/>
  <c r="E9" i="27"/>
  <c r="K22" i="27"/>
  <c r="G106" i="19"/>
  <c r="H24" i="4"/>
  <c r="I24" i="4" s="1"/>
  <c r="G113" i="19"/>
  <c r="G102" i="19"/>
  <c r="G101" i="19"/>
  <c r="G100" i="19"/>
  <c r="G99" i="19"/>
  <c r="G93" i="19"/>
  <c r="G92" i="19"/>
  <c r="G91" i="19"/>
  <c r="G90" i="19"/>
  <c r="G87" i="19"/>
  <c r="G85" i="19"/>
  <c r="G83" i="19"/>
  <c r="G82" i="19"/>
  <c r="G79" i="19"/>
  <c r="G78" i="19"/>
  <c r="G77" i="19"/>
  <c r="G75" i="19"/>
  <c r="G71" i="19"/>
  <c r="G70" i="19"/>
  <c r="G69" i="19"/>
  <c r="G68" i="19"/>
  <c r="G67" i="19"/>
  <c r="G63" i="19"/>
  <c r="G61" i="19"/>
  <c r="G60" i="19"/>
  <c r="G59" i="19"/>
  <c r="G58" i="19"/>
  <c r="G55" i="19"/>
  <c r="G53" i="19"/>
  <c r="G51" i="19"/>
  <c r="G50" i="19"/>
  <c r="G47" i="19"/>
  <c r="F47" i="19" s="1"/>
  <c r="G46" i="19"/>
  <c r="F46" i="19" s="1"/>
  <c r="G45" i="19"/>
  <c r="G43" i="19"/>
  <c r="G39" i="19"/>
  <c r="G38" i="19"/>
  <c r="G37" i="19"/>
  <c r="G36" i="19"/>
  <c r="G35" i="19"/>
  <c r="G31" i="19"/>
  <c r="G29" i="19"/>
  <c r="G28" i="19"/>
  <c r="G27" i="19"/>
  <c r="G26" i="19"/>
  <c r="G23" i="19"/>
  <c r="G21" i="19"/>
  <c r="G19" i="19"/>
  <c r="G18" i="19"/>
  <c r="G15" i="19"/>
  <c r="G14" i="19"/>
  <c r="P20" i="4"/>
  <c r="J20" i="8"/>
  <c r="M6" i="12"/>
  <c r="H46" i="24"/>
  <c r="H49" i="24"/>
  <c r="H48" i="24" s="1"/>
  <c r="H45" i="24"/>
  <c r="H52" i="24" s="1"/>
  <c r="H63" i="24"/>
  <c r="K6" i="4"/>
  <c r="K5" i="4"/>
  <c r="D6" i="28"/>
  <c r="E6" i="28"/>
  <c r="F6" i="28"/>
  <c r="X48" i="37" l="1"/>
  <c r="G47" i="37"/>
  <c r="Q51" i="37"/>
  <c r="H47" i="37"/>
  <c r="D52" i="37"/>
  <c r="R47" i="37"/>
  <c r="Q48" i="37"/>
  <c r="O47" i="37"/>
  <c r="D49" i="37"/>
  <c r="U47" i="37"/>
  <c r="R51" i="37"/>
  <c r="F47" i="37"/>
  <c r="E52" i="37"/>
  <c r="P48" i="37"/>
  <c r="R48" i="37"/>
  <c r="E49" i="37"/>
  <c r="S51" i="37"/>
  <c r="F52" i="37"/>
  <c r="S48" i="37"/>
  <c r="F49" i="37"/>
  <c r="P47" i="37"/>
  <c r="K47" i="37"/>
  <c r="N47" i="37"/>
  <c r="K49" i="37"/>
  <c r="L52" i="37"/>
  <c r="L49" i="37"/>
  <c r="M52" i="37"/>
  <c r="M49" i="37"/>
  <c r="N52" i="37"/>
  <c r="N49" i="37"/>
  <c r="X47" i="37"/>
  <c r="S47" i="37"/>
  <c r="V47" i="37"/>
  <c r="S49" i="37"/>
  <c r="T52" i="37"/>
  <c r="T49" i="37"/>
  <c r="U52" i="37"/>
  <c r="U49" i="37"/>
  <c r="V52" i="37"/>
  <c r="V49" i="37"/>
  <c r="W47" i="37"/>
  <c r="L47" i="37"/>
  <c r="G48" i="37"/>
  <c r="F50" i="37"/>
  <c r="C51" i="37"/>
  <c r="G50" i="37"/>
  <c r="C50" i="37"/>
  <c r="H50" i="37"/>
  <c r="C49" i="37"/>
  <c r="I50" i="37"/>
  <c r="I47" i="37"/>
  <c r="T47" i="37"/>
  <c r="M50" i="37"/>
  <c r="N50" i="37"/>
  <c r="W48" i="37"/>
  <c r="O50" i="37"/>
  <c r="R49" i="37"/>
  <c r="P50" i="37"/>
  <c r="O48" i="37"/>
  <c r="Q50" i="37"/>
  <c r="Q47" i="37"/>
  <c r="E47" i="37"/>
  <c r="C52" i="37"/>
  <c r="V50" i="37"/>
  <c r="S52" i="37"/>
  <c r="W50" i="37"/>
  <c r="K52" i="37"/>
  <c r="X50" i="37"/>
  <c r="X51" i="37"/>
  <c r="D51" i="37"/>
  <c r="J47" i="37"/>
  <c r="M47" i="37"/>
  <c r="H48" i="37"/>
  <c r="I51" i="37"/>
  <c r="I48" i="37"/>
  <c r="J51" i="37"/>
  <c r="J48" i="37"/>
  <c r="K51" i="37"/>
  <c r="K48" i="37"/>
  <c r="L51" i="37"/>
  <c r="T51" i="37"/>
  <c r="G52" i="37"/>
  <c r="O52" i="37"/>
  <c r="W52" i="37"/>
  <c r="D47" i="37"/>
  <c r="E50" i="37"/>
  <c r="P51" i="37"/>
  <c r="L48" i="37"/>
  <c r="T48" i="37"/>
  <c r="G49" i="37"/>
  <c r="O49" i="37"/>
  <c r="W49" i="37"/>
  <c r="J50" i="37"/>
  <c r="H52" i="37"/>
  <c r="P52" i="37"/>
  <c r="X52" i="37"/>
  <c r="H51" i="37"/>
  <c r="X49" i="37"/>
  <c r="P49" i="37"/>
  <c r="K50" i="37"/>
  <c r="S50" i="37"/>
  <c r="Q52" i="37"/>
  <c r="C47" i="37"/>
  <c r="J49" i="37"/>
  <c r="U50" i="37"/>
  <c r="R50" i="37"/>
  <c r="E48" i="37"/>
  <c r="F51" i="37"/>
  <c r="F48" i="37"/>
  <c r="E51" i="37"/>
  <c r="M48" i="37"/>
  <c r="N51" i="37"/>
  <c r="N48" i="37"/>
  <c r="M51" i="37"/>
  <c r="U48" i="37"/>
  <c r="V51" i="37"/>
  <c r="V48" i="37"/>
  <c r="U51" i="37"/>
  <c r="H49" i="37"/>
  <c r="I52" i="37"/>
  <c r="G51" i="37"/>
  <c r="I49" i="37"/>
  <c r="Q49" i="37"/>
  <c r="D50" i="37"/>
  <c r="L50" i="37"/>
  <c r="T50" i="37"/>
  <c r="O51" i="37"/>
  <c r="W51" i="37"/>
  <c r="J52" i="37"/>
  <c r="R52" i="37"/>
  <c r="C48" i="37"/>
  <c r="G12" i="4"/>
  <c r="F10" i="3" s="1"/>
  <c r="S14" i="31" s="1"/>
  <c r="Z14" i="31"/>
  <c r="X14" i="31"/>
  <c r="Y14" i="31"/>
  <c r="AA14" i="31"/>
  <c r="W14" i="31"/>
  <c r="B34" i="29"/>
  <c r="B35" i="29" s="1"/>
  <c r="E23" i="29" s="1"/>
  <c r="H37" i="34"/>
  <c r="H38" i="34" s="1"/>
  <c r="I20" i="4"/>
  <c r="G9" i="4" s="1"/>
  <c r="C4" i="14"/>
  <c r="C6" i="14" s="1"/>
  <c r="D16" i="33"/>
  <c r="C17" i="33" s="1"/>
  <c r="B16" i="33"/>
  <c r="G104" i="19"/>
  <c r="G20" i="19"/>
  <c r="G30" i="19"/>
  <c r="G42" i="19"/>
  <c r="G52" i="19"/>
  <c r="G62" i="19"/>
  <c r="G74" i="19"/>
  <c r="G84" i="19"/>
  <c r="G94" i="19"/>
  <c r="G108" i="19"/>
  <c r="G95" i="19"/>
  <c r="G22" i="19"/>
  <c r="G34" i="19"/>
  <c r="G44" i="19"/>
  <c r="G54" i="19"/>
  <c r="G66" i="19"/>
  <c r="G76" i="19"/>
  <c r="G86" i="19"/>
  <c r="S19" i="4"/>
  <c r="G16" i="19"/>
  <c r="G24" i="19"/>
  <c r="G32" i="19"/>
  <c r="G40" i="19"/>
  <c r="G48" i="19"/>
  <c r="G56" i="19"/>
  <c r="G64" i="19"/>
  <c r="G72" i="19"/>
  <c r="G80" i="19"/>
  <c r="G88" i="19"/>
  <c r="G96" i="19"/>
  <c r="G105" i="19"/>
  <c r="G17" i="19"/>
  <c r="G25" i="19"/>
  <c r="G33" i="19"/>
  <c r="G41" i="19"/>
  <c r="G49" i="19"/>
  <c r="G57" i="19"/>
  <c r="G65" i="19"/>
  <c r="G73" i="19"/>
  <c r="G81" i="19"/>
  <c r="G89" i="19"/>
  <c r="G97" i="19"/>
  <c r="G109" i="19"/>
  <c r="G110" i="19"/>
  <c r="G103" i="19"/>
  <c r="G111" i="19"/>
  <c r="G112" i="19"/>
  <c r="I46" i="24"/>
  <c r="I45" i="24"/>
  <c r="J6" i="24"/>
  <c r="F5" i="28"/>
  <c r="E5" i="28"/>
  <c r="D5" i="28"/>
  <c r="I25" i="27"/>
  <c r="I24" i="27"/>
  <c r="N5" i="27"/>
  <c r="N6" i="27"/>
  <c r="N7" i="27"/>
  <c r="N8" i="27"/>
  <c r="N9" i="27"/>
  <c r="N10" i="27"/>
  <c r="N11" i="27"/>
  <c r="N12" i="27"/>
  <c r="N4" i="27"/>
  <c r="E53" i="16"/>
  <c r="B60" i="26"/>
  <c r="B59" i="26"/>
  <c r="B58" i="26"/>
  <c r="B57" i="26"/>
  <c r="B56" i="26"/>
  <c r="B55" i="26"/>
  <c r="B54" i="26"/>
  <c r="B53" i="26"/>
  <c r="B52" i="26"/>
  <c r="B28" i="26"/>
  <c r="C45" i="26" s="1"/>
  <c r="Z22" i="39" l="1"/>
  <c r="AA22" i="39"/>
  <c r="Y22" i="39"/>
  <c r="X22" i="39"/>
  <c r="W22" i="39"/>
  <c r="M22" i="39"/>
  <c r="V22" i="39"/>
  <c r="N22" i="39"/>
  <c r="R22" i="39"/>
  <c r="G22" i="39"/>
  <c r="H22" i="39" s="1"/>
  <c r="K22" i="39"/>
  <c r="J22" i="39"/>
  <c r="O22" i="39"/>
  <c r="U22" i="39"/>
  <c r="P22" i="39"/>
  <c r="T22" i="39"/>
  <c r="I22" i="39"/>
  <c r="Q22" i="39"/>
  <c r="S22" i="39"/>
  <c r="L22" i="39"/>
  <c r="G9" i="38"/>
  <c r="N14" i="31"/>
  <c r="P14" i="31"/>
  <c r="U14" i="31"/>
  <c r="M14" i="31"/>
  <c r="V14" i="31"/>
  <c r="K14" i="31"/>
  <c r="R14" i="31"/>
  <c r="G14" i="31"/>
  <c r="H14" i="31" s="1"/>
  <c r="Q14" i="31"/>
  <c r="L14" i="31"/>
  <c r="T14" i="31"/>
  <c r="J14" i="31"/>
  <c r="O14" i="31"/>
  <c r="I14" i="31"/>
  <c r="H9" i="38"/>
  <c r="I9" i="38" s="1"/>
  <c r="J9" i="38" s="1"/>
  <c r="K9" i="38" s="1"/>
  <c r="L9" i="38" s="1"/>
  <c r="M9" i="38" s="1"/>
  <c r="N9" i="38" s="1"/>
  <c r="O9" i="38" s="1"/>
  <c r="P9" i="38" s="1"/>
  <c r="Q9" i="38" s="1"/>
  <c r="R9" i="38" s="1"/>
  <c r="S9" i="38" s="1"/>
  <c r="T9" i="38" s="1"/>
  <c r="U9" i="38" s="1"/>
  <c r="V9" i="38" s="1"/>
  <c r="W9" i="38" s="1"/>
  <c r="X9" i="38" s="1"/>
  <c r="Y9" i="38" s="1"/>
  <c r="Z9" i="38" s="1"/>
  <c r="G9" i="15"/>
  <c r="R9" i="15"/>
  <c r="T9" i="15"/>
  <c r="S9" i="15"/>
  <c r="N9" i="15"/>
  <c r="H9" i="15"/>
  <c r="J9" i="15"/>
  <c r="P9" i="15"/>
  <c r="M9" i="15"/>
  <c r="U9" i="15"/>
  <c r="L9" i="15"/>
  <c r="K9" i="15"/>
  <c r="I9" i="15"/>
  <c r="Q9" i="15"/>
  <c r="O9" i="15"/>
  <c r="B17" i="33"/>
  <c r="C38" i="26"/>
  <c r="C33" i="26"/>
  <c r="Q6" i="27"/>
  <c r="U6" i="27"/>
  <c r="T6" i="27"/>
  <c r="U4" i="27"/>
  <c r="W4" i="27"/>
  <c r="T4" i="27"/>
  <c r="V4" i="27"/>
  <c r="X4" i="27" s="1"/>
  <c r="Q12" i="27"/>
  <c r="U12" i="27"/>
  <c r="T12" i="27"/>
  <c r="Q11" i="27"/>
  <c r="T11" i="27"/>
  <c r="U11" i="27"/>
  <c r="Q10" i="27"/>
  <c r="T10" i="27"/>
  <c r="U10" i="27"/>
  <c r="Q8" i="27"/>
  <c r="U8" i="27"/>
  <c r="T8" i="27"/>
  <c r="Q5" i="27"/>
  <c r="U5" i="27"/>
  <c r="T5" i="27"/>
  <c r="Q9" i="27"/>
  <c r="T9" i="27"/>
  <c r="U9" i="27"/>
  <c r="Q7" i="27"/>
  <c r="U7" i="27"/>
  <c r="T7" i="27"/>
  <c r="Q4" i="27"/>
  <c r="I52" i="24"/>
  <c r="J46" i="24"/>
  <c r="V10" i="27"/>
  <c r="W10" i="27"/>
  <c r="W9" i="27"/>
  <c r="V9" i="27"/>
  <c r="V8" i="27"/>
  <c r="W8" i="27"/>
  <c r="V7" i="27"/>
  <c r="W7" i="27"/>
  <c r="W5" i="27"/>
  <c r="V5" i="27"/>
  <c r="V6" i="27"/>
  <c r="W6" i="27"/>
  <c r="V12" i="27"/>
  <c r="W12" i="27"/>
  <c r="W11" i="27"/>
  <c r="V11" i="27"/>
  <c r="C37" i="26"/>
  <c r="C40" i="26"/>
  <c r="C41" i="26"/>
  <c r="C34" i="26"/>
  <c r="C42" i="26"/>
  <c r="C35" i="26"/>
  <c r="C43" i="26"/>
  <c r="C46" i="26"/>
  <c r="C39" i="26"/>
  <c r="C36" i="26"/>
  <c r="C44" i="26"/>
  <c r="X12" i="27" l="1"/>
  <c r="S4" i="27"/>
  <c r="S12" i="27"/>
  <c r="S11" i="27"/>
  <c r="S8" i="27"/>
  <c r="S6" i="27"/>
  <c r="S7" i="27"/>
  <c r="S9" i="27"/>
  <c r="S5" i="27"/>
  <c r="S10" i="27"/>
  <c r="X10" i="27"/>
  <c r="X7" i="27"/>
  <c r="X5" i="27"/>
  <c r="X9" i="27"/>
  <c r="X8" i="27"/>
  <c r="X11" i="27"/>
  <c r="X6" i="27"/>
  <c r="B23" i="9"/>
  <c r="AA10" i="6"/>
  <c r="F4" i="33" l="1"/>
  <c r="F5" i="33"/>
  <c r="F6" i="33"/>
  <c r="F7" i="33"/>
  <c r="F8" i="33"/>
  <c r="F9" i="33"/>
  <c r="F10" i="33"/>
  <c r="F11" i="33"/>
  <c r="F12" i="33"/>
  <c r="F13" i="33"/>
  <c r="F14" i="33"/>
  <c r="F15" i="33"/>
  <c r="F16" i="33"/>
  <c r="F17" i="33"/>
  <c r="Y33" i="14"/>
  <c r="Z33" i="14"/>
  <c r="AA33" i="14"/>
  <c r="AB33" i="14"/>
  <c r="H36" i="24"/>
  <c r="H25" i="24" s="1"/>
  <c r="G66" i="24"/>
  <c r="H74" i="24"/>
  <c r="G70" i="24"/>
  <c r="H71" i="24"/>
  <c r="G55" i="24"/>
  <c r="G59" i="24"/>
  <c r="H60" i="24"/>
  <c r="I63" i="24" s="1"/>
  <c r="I25" i="14"/>
  <c r="J18" i="14"/>
  <c r="K18" i="14"/>
  <c r="L18" i="14"/>
  <c r="M18" i="14"/>
  <c r="N18" i="14"/>
  <c r="O18" i="14"/>
  <c r="P18" i="14"/>
  <c r="Q18" i="14"/>
  <c r="R18" i="14"/>
  <c r="S18" i="14"/>
  <c r="T18" i="14"/>
  <c r="U18" i="14"/>
  <c r="V18" i="14"/>
  <c r="W18" i="14"/>
  <c r="X18" i="14"/>
  <c r="Y18" i="14"/>
  <c r="Z18" i="14"/>
  <c r="AA18" i="14"/>
  <c r="AB18" i="14"/>
  <c r="I18" i="14"/>
  <c r="Y15" i="14"/>
  <c r="Z15" i="14"/>
  <c r="AA15" i="14"/>
  <c r="AB15" i="14"/>
  <c r="Y14" i="14"/>
  <c r="Z14" i="14"/>
  <c r="AA14" i="14"/>
  <c r="AB14" i="14"/>
  <c r="I74" i="24" l="1"/>
  <c r="AA8" i="15" l="1"/>
  <c r="AA12" i="15"/>
  <c r="K11" i="8"/>
  <c r="K15" i="8" s="1"/>
  <c r="E57" i="8"/>
  <c r="E58" i="8"/>
  <c r="E56" i="8"/>
  <c r="D57" i="8"/>
  <c r="D58" i="8"/>
  <c r="D56" i="8"/>
  <c r="C58" i="8"/>
  <c r="C57" i="8"/>
  <c r="F45" i="8"/>
  <c r="E45" i="8"/>
  <c r="E46" i="8"/>
  <c r="E60" i="8" l="1"/>
  <c r="D60" i="8"/>
  <c r="C61" i="8" l="1"/>
  <c r="C51" i="8"/>
  <c r="B22" i="23" l="1"/>
  <c r="B23" i="23"/>
  <c r="B21" i="23"/>
  <c r="M12" i="20"/>
  <c r="N12" i="20"/>
  <c r="N10" i="20"/>
  <c r="N11" i="20"/>
  <c r="N9" i="20"/>
  <c r="M10" i="20"/>
  <c r="M11" i="20"/>
  <c r="M9" i="20"/>
  <c r="L9" i="20"/>
  <c r="B36" i="23" s="1"/>
  <c r="I12" i="3"/>
  <c r="I13" i="3"/>
  <c r="I11" i="3"/>
  <c r="C24" i="3"/>
  <c r="C66" i="24" s="1"/>
  <c r="C25" i="3"/>
  <c r="C45" i="23"/>
  <c r="C46" i="23"/>
  <c r="C30" i="23"/>
  <c r="C29" i="23"/>
  <c r="B30" i="23"/>
  <c r="B29" i="23"/>
  <c r="C16" i="23"/>
  <c r="C15" i="23"/>
  <c r="B16" i="23"/>
  <c r="B15" i="23"/>
  <c r="B8" i="23"/>
  <c r="B9" i="23"/>
  <c r="B7" i="23"/>
  <c r="B44" i="23"/>
  <c r="B46" i="23"/>
  <c r="C28" i="23"/>
  <c r="C44" i="23"/>
  <c r="B38" i="23"/>
  <c r="B37" i="23"/>
  <c r="B10" i="23"/>
  <c r="D28" i="32" l="1"/>
  <c r="C28" i="32"/>
  <c r="B28" i="32"/>
  <c r="H72" i="24"/>
  <c r="B39" i="23"/>
  <c r="B24" i="23"/>
  <c r="C40" i="24" l="1"/>
  <c r="H37" i="24" a="1"/>
  <c r="H37" i="24" s="1"/>
  <c r="H68" i="24"/>
  <c r="H70" i="24"/>
  <c r="G22" i="12"/>
  <c r="G21" i="12"/>
  <c r="R11" i="12"/>
  <c r="AA19" i="12"/>
  <c r="AB19" i="12"/>
  <c r="AC19" i="12"/>
  <c r="AD19" i="12"/>
  <c r="AE19" i="12"/>
  <c r="AF19" i="12"/>
  <c r="AG19" i="12"/>
  <c r="AH19" i="12"/>
  <c r="AI19" i="12"/>
  <c r="AJ19" i="12"/>
  <c r="AK19" i="12"/>
  <c r="AL19" i="12"/>
  <c r="AM19" i="12"/>
  <c r="AN19" i="12"/>
  <c r="AO19" i="12"/>
  <c r="AX19" i="12"/>
  <c r="AY19" i="12"/>
  <c r="AZ19" i="12"/>
  <c r="BA19" i="12"/>
  <c r="BB19" i="12"/>
  <c r="BC19" i="12"/>
  <c r="BD19" i="12"/>
  <c r="BE19" i="12"/>
  <c r="BF19" i="12"/>
  <c r="G19" i="12"/>
  <c r="H19" i="12"/>
  <c r="I19" i="12"/>
  <c r="J19" i="12"/>
  <c r="K19" i="12"/>
  <c r="L19" i="12"/>
  <c r="M19" i="12"/>
  <c r="N19" i="12"/>
  <c r="O19" i="12"/>
  <c r="P19" i="12"/>
  <c r="Q19" i="12"/>
  <c r="R19" i="12"/>
  <c r="H25" i="12"/>
  <c r="I25" i="12"/>
  <c r="J25" i="12"/>
  <c r="K25" i="12"/>
  <c r="L25" i="12"/>
  <c r="M25" i="12"/>
  <c r="N25" i="12"/>
  <c r="O25" i="12"/>
  <c r="P25" i="12"/>
  <c r="Q25" i="12"/>
  <c r="Z25" i="12"/>
  <c r="AA25" i="12"/>
  <c r="AB25" i="12"/>
  <c r="AC25" i="12"/>
  <c r="AD25" i="12"/>
  <c r="AE25" i="12"/>
  <c r="AF25" i="12"/>
  <c r="AG25" i="12"/>
  <c r="AH25" i="12"/>
  <c r="AI25" i="12"/>
  <c r="AJ25" i="12"/>
  <c r="AK25" i="12"/>
  <c r="AL25" i="12"/>
  <c r="AM25" i="12"/>
  <c r="AN25" i="12"/>
  <c r="AW25" i="12"/>
  <c r="AX25" i="12"/>
  <c r="AY25" i="12"/>
  <c r="AZ25" i="12"/>
  <c r="BA25" i="12"/>
  <c r="BB25" i="12"/>
  <c r="BC25" i="12"/>
  <c r="BD25" i="12"/>
  <c r="BE25" i="12"/>
  <c r="BF25" i="12"/>
  <c r="G25" i="12"/>
  <c r="G24" i="12"/>
  <c r="H24" i="12"/>
  <c r="I24" i="12"/>
  <c r="J24" i="12"/>
  <c r="K24" i="12"/>
  <c r="L24" i="12"/>
  <c r="M24" i="12"/>
  <c r="N24" i="12"/>
  <c r="O24" i="12"/>
  <c r="P24" i="12"/>
  <c r="Q24" i="12"/>
  <c r="Z24" i="12"/>
  <c r="AA24" i="12"/>
  <c r="AB24" i="12"/>
  <c r="AC24" i="12"/>
  <c r="AD24" i="12"/>
  <c r="AE24" i="12"/>
  <c r="AF24" i="12"/>
  <c r="AG24" i="12"/>
  <c r="AH24" i="12"/>
  <c r="AI24" i="12"/>
  <c r="AJ24" i="12"/>
  <c r="AK24" i="12"/>
  <c r="AL24" i="12"/>
  <c r="AM24" i="12"/>
  <c r="AN24" i="12"/>
  <c r="AW24" i="12"/>
  <c r="AY24" i="12"/>
  <c r="AZ24" i="12"/>
  <c r="BA24" i="12"/>
  <c r="BB24" i="12"/>
  <c r="BC24" i="12"/>
  <c r="BD24" i="12"/>
  <c r="BE24" i="12"/>
  <c r="BF24" i="12"/>
  <c r="M5" i="12"/>
  <c r="C28" i="14" l="1"/>
  <c r="L11" i="20"/>
  <c r="L10" i="20"/>
  <c r="L4" i="20"/>
  <c r="F2" i="20"/>
  <c r="G2" i="20" s="1"/>
  <c r="F3" i="20"/>
  <c r="G3" i="20"/>
  <c r="G4" i="20"/>
  <c r="F4" i="20"/>
  <c r="G5" i="20"/>
  <c r="F5" i="20"/>
  <c r="E11" i="20"/>
  <c r="E9" i="20"/>
  <c r="Y34" i="14"/>
  <c r="Z34" i="14"/>
  <c r="AA34" i="14"/>
  <c r="AB34" i="14"/>
  <c r="Y35" i="14"/>
  <c r="Z35" i="14"/>
  <c r="AA35" i="14"/>
  <c r="AB35" i="14"/>
  <c r="H4" i="19"/>
  <c r="F12" i="12"/>
  <c r="H5" i="19"/>
  <c r="H3" i="19"/>
  <c r="H113" i="19" l="1"/>
  <c r="F113" i="19" s="1"/>
  <c r="H105" i="19"/>
  <c r="F105" i="19" s="1"/>
  <c r="H97" i="19"/>
  <c r="F97" i="19" s="1"/>
  <c r="H89" i="19"/>
  <c r="F89" i="19" s="1"/>
  <c r="H81" i="19"/>
  <c r="F81" i="19" s="1"/>
  <c r="H73" i="19"/>
  <c r="F73" i="19" s="1"/>
  <c r="H65" i="19"/>
  <c r="F65" i="19" s="1"/>
  <c r="H57" i="19"/>
  <c r="F57" i="19" s="1"/>
  <c r="H49" i="19"/>
  <c r="F49" i="19" s="1"/>
  <c r="H41" i="19"/>
  <c r="F41" i="19" s="1"/>
  <c r="H33" i="19"/>
  <c r="F33" i="19" s="1"/>
  <c r="H25" i="19"/>
  <c r="F25" i="19" s="1"/>
  <c r="P21" i="4" s="1"/>
  <c r="H17" i="19"/>
  <c r="F17" i="19" s="1"/>
  <c r="H112" i="19"/>
  <c r="F112" i="19" s="1"/>
  <c r="H104" i="19"/>
  <c r="F104" i="19" s="1"/>
  <c r="H96" i="19"/>
  <c r="F96" i="19" s="1"/>
  <c r="H88" i="19"/>
  <c r="F88" i="19" s="1"/>
  <c r="H80" i="19"/>
  <c r="F80" i="19" s="1"/>
  <c r="H72" i="19"/>
  <c r="F72" i="19" s="1"/>
  <c r="H64" i="19"/>
  <c r="F64" i="19" s="1"/>
  <c r="H56" i="19"/>
  <c r="F56" i="19" s="1"/>
  <c r="H48" i="19"/>
  <c r="F48" i="19" s="1"/>
  <c r="H40" i="19"/>
  <c r="F40" i="19" s="1"/>
  <c r="H32" i="19"/>
  <c r="F32" i="19" s="1"/>
  <c r="H24" i="19"/>
  <c r="F24" i="19" s="1"/>
  <c r="H16" i="19"/>
  <c r="F16" i="19" s="1"/>
  <c r="H111" i="19"/>
  <c r="F111" i="19" s="1"/>
  <c r="H103" i="19"/>
  <c r="F103" i="19" s="1"/>
  <c r="H95" i="19"/>
  <c r="F95" i="19" s="1"/>
  <c r="H87" i="19"/>
  <c r="F87" i="19" s="1"/>
  <c r="H79" i="19"/>
  <c r="F79" i="19" s="1"/>
  <c r="H71" i="19"/>
  <c r="F71" i="19" s="1"/>
  <c r="H63" i="19"/>
  <c r="F63" i="19" s="1"/>
  <c r="H55" i="19"/>
  <c r="F55" i="19" s="1"/>
  <c r="P22" i="4" s="1"/>
  <c r="T19" i="4" s="1"/>
  <c r="H47" i="19"/>
  <c r="H39" i="19"/>
  <c r="F39" i="19" s="1"/>
  <c r="H31" i="19"/>
  <c r="F31" i="19" s="1"/>
  <c r="H23" i="19"/>
  <c r="F23" i="19" s="1"/>
  <c r="H15" i="19"/>
  <c r="F15" i="19" s="1"/>
  <c r="H102" i="19"/>
  <c r="F102" i="19" s="1"/>
  <c r="H94" i="19"/>
  <c r="F94" i="19" s="1"/>
  <c r="H86" i="19"/>
  <c r="F86" i="19" s="1"/>
  <c r="H78" i="19"/>
  <c r="F78" i="19" s="1"/>
  <c r="H70" i="19"/>
  <c r="F70" i="19" s="1"/>
  <c r="H62" i="19"/>
  <c r="F62" i="19" s="1"/>
  <c r="H54" i="19"/>
  <c r="F54" i="19" s="1"/>
  <c r="H46" i="19"/>
  <c r="H38" i="19"/>
  <c r="F38" i="19" s="1"/>
  <c r="H22" i="19"/>
  <c r="F22" i="19" s="1"/>
  <c r="H14" i="19"/>
  <c r="F14" i="19" s="1"/>
  <c r="H110" i="19"/>
  <c r="F110" i="19" s="1"/>
  <c r="H30" i="19"/>
  <c r="F30" i="19" s="1"/>
  <c r="H109" i="19"/>
  <c r="F109" i="19" s="1"/>
  <c r="H101" i="19"/>
  <c r="F101" i="19" s="1"/>
  <c r="H93" i="19"/>
  <c r="F93" i="19" s="1"/>
  <c r="H85" i="19"/>
  <c r="F85" i="19" s="1"/>
  <c r="H77" i="19"/>
  <c r="F77" i="19" s="1"/>
  <c r="H69" i="19"/>
  <c r="F69" i="19" s="1"/>
  <c r="P23" i="4" s="1"/>
  <c r="H61" i="19"/>
  <c r="F61" i="19" s="1"/>
  <c r="H53" i="19"/>
  <c r="F53" i="19" s="1"/>
  <c r="H45" i="19"/>
  <c r="F45" i="19" s="1"/>
  <c r="H37" i="19"/>
  <c r="F37" i="19" s="1"/>
  <c r="H29" i="19"/>
  <c r="F29" i="19" s="1"/>
  <c r="H21" i="19"/>
  <c r="F21" i="19" s="1"/>
  <c r="H98" i="19"/>
  <c r="F98" i="19" s="1"/>
  <c r="H90" i="19"/>
  <c r="F90" i="19" s="1"/>
  <c r="H82" i="19"/>
  <c r="F82" i="19" s="1"/>
  <c r="H74" i="19"/>
  <c r="F74" i="19" s="1"/>
  <c r="H66" i="19"/>
  <c r="F66" i="19" s="1"/>
  <c r="H58" i="19"/>
  <c r="F58" i="19" s="1"/>
  <c r="H50" i="19"/>
  <c r="F50" i="19" s="1"/>
  <c r="H34" i="19"/>
  <c r="F34" i="19" s="1"/>
  <c r="H18" i="19"/>
  <c r="F18" i="19" s="1"/>
  <c r="H108" i="19"/>
  <c r="F108" i="19" s="1"/>
  <c r="H100" i="19"/>
  <c r="F100" i="19" s="1"/>
  <c r="H92" i="19"/>
  <c r="F92" i="19" s="1"/>
  <c r="H84" i="19"/>
  <c r="F84" i="19" s="1"/>
  <c r="H76" i="19"/>
  <c r="F76" i="19" s="1"/>
  <c r="H68" i="19"/>
  <c r="F68" i="19" s="1"/>
  <c r="H60" i="19"/>
  <c r="F60" i="19" s="1"/>
  <c r="H52" i="19"/>
  <c r="F52" i="19" s="1"/>
  <c r="H44" i="19"/>
  <c r="F44" i="19" s="1"/>
  <c r="H36" i="19"/>
  <c r="F36" i="19" s="1"/>
  <c r="H28" i="19"/>
  <c r="F28" i="19" s="1"/>
  <c r="H20" i="19"/>
  <c r="F20" i="19" s="1"/>
  <c r="H107" i="19"/>
  <c r="F107" i="19" s="1"/>
  <c r="H99" i="19"/>
  <c r="F99" i="19" s="1"/>
  <c r="H91" i="19"/>
  <c r="F91" i="19" s="1"/>
  <c r="H83" i="19"/>
  <c r="F83" i="19" s="1"/>
  <c r="H75" i="19"/>
  <c r="F75" i="19" s="1"/>
  <c r="H67" i="19"/>
  <c r="F67" i="19" s="1"/>
  <c r="H59" i="19"/>
  <c r="F59" i="19" s="1"/>
  <c r="H51" i="19"/>
  <c r="F51" i="19" s="1"/>
  <c r="H43" i="19"/>
  <c r="F43" i="19" s="1"/>
  <c r="H35" i="19"/>
  <c r="F35" i="19" s="1"/>
  <c r="H27" i="19"/>
  <c r="F27" i="19" s="1"/>
  <c r="H19" i="19"/>
  <c r="F19" i="19" s="1"/>
  <c r="H106" i="19"/>
  <c r="F106" i="19" s="1"/>
  <c r="H42" i="19"/>
  <c r="F42" i="19" s="1"/>
  <c r="H26" i="19"/>
  <c r="F26" i="19" s="1"/>
  <c r="H13" i="19"/>
  <c r="F13" i="19" s="1"/>
  <c r="R34" i="14"/>
  <c r="J34" i="14"/>
  <c r="L12" i="20"/>
  <c r="I34" i="14"/>
  <c r="Q34" i="14"/>
  <c r="H34" i="14"/>
  <c r="H35" i="14" s="1"/>
  <c r="P34" i="14"/>
  <c r="O34" i="14"/>
  <c r="V34" i="14"/>
  <c r="N34" i="14"/>
  <c r="U34" i="14"/>
  <c r="M34" i="14"/>
  <c r="G34" i="14"/>
  <c r="G35" i="14" s="1"/>
  <c r="T34" i="14"/>
  <c r="L34" i="14"/>
  <c r="K34" i="14"/>
  <c r="J8" i="14"/>
  <c r="I4" i="12"/>
  <c r="H21" i="12"/>
  <c r="I21" i="12"/>
  <c r="J21" i="12"/>
  <c r="K21" i="12"/>
  <c r="L21" i="12"/>
  <c r="M21" i="12"/>
  <c r="N21" i="12"/>
  <c r="O21" i="12"/>
  <c r="P21" i="12"/>
  <c r="Q21" i="12"/>
  <c r="S21" i="12"/>
  <c r="T21" i="12"/>
  <c r="U21" i="12"/>
  <c r="V21" i="12"/>
  <c r="W21" i="12"/>
  <c r="X21" i="12"/>
  <c r="Y21" i="12"/>
  <c r="Z21" i="12"/>
  <c r="AB21" i="12"/>
  <c r="AC21" i="12"/>
  <c r="AD21" i="12"/>
  <c r="AE21" i="12"/>
  <c r="AF21" i="12"/>
  <c r="AG21" i="12"/>
  <c r="AH21" i="12"/>
  <c r="AI21" i="12"/>
  <c r="AJ21" i="12"/>
  <c r="AK21" i="12"/>
  <c r="AL21" i="12"/>
  <c r="AM21" i="12"/>
  <c r="AN21" i="12"/>
  <c r="AP21" i="12"/>
  <c r="AQ21" i="12"/>
  <c r="AR21" i="12"/>
  <c r="AS21" i="12"/>
  <c r="AT21" i="12"/>
  <c r="AU21" i="12"/>
  <c r="AV21" i="12"/>
  <c r="AW21" i="12"/>
  <c r="AY21" i="12"/>
  <c r="AZ21" i="12"/>
  <c r="BA21" i="12"/>
  <c r="BB21" i="12"/>
  <c r="BC21" i="12"/>
  <c r="BD21" i="12"/>
  <c r="BE21" i="12"/>
  <c r="BF21" i="12"/>
  <c r="H22" i="12"/>
  <c r="I22" i="12"/>
  <c r="J22" i="12"/>
  <c r="K22" i="12"/>
  <c r="L22" i="12"/>
  <c r="M22" i="12"/>
  <c r="N22" i="12"/>
  <c r="O22" i="12"/>
  <c r="P22" i="12"/>
  <c r="Q22" i="12"/>
  <c r="AB22" i="12"/>
  <c r="AC22" i="12"/>
  <c r="AD22" i="12"/>
  <c r="AE22" i="12"/>
  <c r="AF22" i="12"/>
  <c r="AG22" i="12"/>
  <c r="AH22" i="12"/>
  <c r="AI22" i="12"/>
  <c r="BB22" i="12"/>
  <c r="BC22" i="12"/>
  <c r="BD22" i="12"/>
  <c r="BE22" i="12"/>
  <c r="BF22" i="12"/>
  <c r="H23" i="4"/>
  <c r="I23" i="4" s="1"/>
  <c r="G6" i="4" l="1"/>
  <c r="F5" i="3" s="1"/>
  <c r="W32" i="14"/>
  <c r="J28" i="14"/>
  <c r="S10" i="14"/>
  <c r="P32" i="14"/>
  <c r="Y25" i="14"/>
  <c r="R10" i="14"/>
  <c r="I28" i="14"/>
  <c r="O32" i="14"/>
  <c r="X25" i="14"/>
  <c r="K10" i="14"/>
  <c r="AA28" i="14"/>
  <c r="Q25" i="14"/>
  <c r="J10" i="14"/>
  <c r="Z28" i="14"/>
  <c r="P25" i="14"/>
  <c r="Y8" i="14"/>
  <c r="S28" i="14"/>
  <c r="X8" i="14"/>
  <c r="R28" i="14"/>
  <c r="AA10" i="14"/>
  <c r="Q8" i="14"/>
  <c r="X32" i="14"/>
  <c r="K28" i="14"/>
  <c r="Z10" i="14"/>
  <c r="P8" i="14"/>
  <c r="V32" i="14"/>
  <c r="N32" i="14"/>
  <c r="Y28" i="14"/>
  <c r="Q28" i="14"/>
  <c r="W25" i="14"/>
  <c r="O25" i="14"/>
  <c r="Y10" i="14"/>
  <c r="Q10" i="14"/>
  <c r="W8" i="14"/>
  <c r="O8" i="14"/>
  <c r="I32" i="14"/>
  <c r="U32" i="14"/>
  <c r="M32" i="14"/>
  <c r="X28" i="14"/>
  <c r="P28" i="14"/>
  <c r="V25" i="14"/>
  <c r="N25" i="14"/>
  <c r="X10" i="14"/>
  <c r="P10" i="14"/>
  <c r="V8" i="14"/>
  <c r="N8" i="14"/>
  <c r="AB32" i="14"/>
  <c r="T32" i="14"/>
  <c r="L32" i="14"/>
  <c r="W28" i="14"/>
  <c r="O28" i="14"/>
  <c r="U25" i="14"/>
  <c r="M25" i="14"/>
  <c r="W10" i="14"/>
  <c r="O10" i="14"/>
  <c r="U8" i="14"/>
  <c r="M8" i="14"/>
  <c r="AA32" i="14"/>
  <c r="S32" i="14"/>
  <c r="K32" i="14"/>
  <c r="V28" i="14"/>
  <c r="N28" i="14"/>
  <c r="AB25" i="14"/>
  <c r="T25" i="14"/>
  <c r="L25" i="14"/>
  <c r="V10" i="14"/>
  <c r="N10" i="14"/>
  <c r="AB8" i="14"/>
  <c r="T8" i="14"/>
  <c r="L8" i="14"/>
  <c r="Z32" i="14"/>
  <c r="R32" i="14"/>
  <c r="J32" i="14"/>
  <c r="U28" i="14"/>
  <c r="M28" i="14"/>
  <c r="AA25" i="14"/>
  <c r="S25" i="14"/>
  <c r="K25" i="14"/>
  <c r="U10" i="14"/>
  <c r="M10" i="14"/>
  <c r="AA8" i="14"/>
  <c r="S8" i="14"/>
  <c r="K8" i="14"/>
  <c r="Y32" i="14"/>
  <c r="Q32" i="14"/>
  <c r="AB28" i="14"/>
  <c r="T28" i="14"/>
  <c r="L28" i="14"/>
  <c r="Z25" i="14"/>
  <c r="R25" i="14"/>
  <c r="J25" i="14"/>
  <c r="AB10" i="14"/>
  <c r="T10" i="14"/>
  <c r="L10" i="14"/>
  <c r="Z8" i="14"/>
  <c r="R8" i="14"/>
  <c r="G26" i="14"/>
  <c r="H26" i="14"/>
  <c r="H19" i="14"/>
  <c r="G19" i="14"/>
  <c r="H11" i="17"/>
  <c r="G11" i="17"/>
  <c r="H11" i="14"/>
  <c r="G11" i="14"/>
  <c r="H27" i="24" l="1"/>
  <c r="F3" i="18"/>
  <c r="M4" i="12"/>
  <c r="G22" i="14"/>
  <c r="G44" i="14" s="1"/>
  <c r="H22" i="14"/>
  <c r="H30" i="14" s="1"/>
  <c r="S18" i="12" l="1"/>
  <c r="R25" i="12" s="1"/>
  <c r="H44" i="14"/>
  <c r="H37" i="14"/>
  <c r="W18" i="12"/>
  <c r="V25" i="12" s="1"/>
  <c r="V18" i="12"/>
  <c r="U25" i="12" s="1"/>
  <c r="AT18" i="12"/>
  <c r="AS25" i="12" s="1"/>
  <c r="AR18" i="12"/>
  <c r="AQ25" i="12" s="1"/>
  <c r="AV18" i="12"/>
  <c r="AU25" i="12" s="1"/>
  <c r="AP18" i="12"/>
  <c r="AO25" i="12" s="1"/>
  <c r="X18" i="12"/>
  <c r="W25" i="12" s="1"/>
  <c r="Y18" i="12"/>
  <c r="X25" i="12" s="1"/>
  <c r="Z18" i="12"/>
  <c r="Y25" i="12" s="1"/>
  <c r="T18" i="12"/>
  <c r="S25" i="12" s="1"/>
  <c r="AQ18" i="12"/>
  <c r="AP25" i="12" s="1"/>
  <c r="U18" i="12"/>
  <c r="T25" i="12" s="1"/>
  <c r="AS18" i="12"/>
  <c r="AR25" i="12" s="1"/>
  <c r="AW18" i="12"/>
  <c r="AV25" i="12" s="1"/>
  <c r="AU18" i="12"/>
  <c r="AT25" i="12" s="1"/>
  <c r="H42" i="14"/>
  <c r="G42" i="14"/>
  <c r="F25" i="12" l="1"/>
  <c r="F18" i="12"/>
  <c r="H46" i="14"/>
  <c r="H48" i="14"/>
  <c r="G37" i="14"/>
  <c r="G48" i="14" l="1"/>
  <c r="G46" i="14"/>
  <c r="AA7" i="15"/>
  <c r="E52" i="16"/>
  <c r="E24" i="16"/>
  <c r="E23" i="16"/>
  <c r="E22" i="16"/>
  <c r="E21" i="16"/>
  <c r="E20" i="16"/>
  <c r="AA11" i="15"/>
  <c r="F9" i="13" l="1"/>
  <c r="F10" i="13"/>
  <c r="F11" i="13"/>
  <c r="F13" i="12"/>
  <c r="G20" i="12"/>
  <c r="F15" i="12"/>
  <c r="F14" i="12"/>
  <c r="B15" i="12" l="1"/>
  <c r="B14" i="12"/>
  <c r="B13" i="12"/>
  <c r="D11" i="13" l="1"/>
  <c r="D10" i="13"/>
  <c r="D9" i="13"/>
  <c r="F13" i="13"/>
  <c r="E11" i="13"/>
  <c r="E10" i="13"/>
  <c r="E9" i="13"/>
  <c r="C11" i="13"/>
  <c r="C10" i="13"/>
  <c r="C9" i="13"/>
  <c r="E13" i="13" l="1"/>
  <c r="D13" i="13"/>
  <c r="F12" i="13"/>
  <c r="E12" i="13"/>
  <c r="D12" i="13"/>
  <c r="C13" i="13"/>
  <c r="C12" i="13"/>
  <c r="AK22" i="12" l="1"/>
  <c r="AM22" i="12"/>
  <c r="AN22" i="12"/>
  <c r="AZ22" i="12"/>
  <c r="BA22" i="12"/>
  <c r="AY22" i="12"/>
  <c r="M12" i="7"/>
  <c r="M11" i="7"/>
  <c r="M10" i="7"/>
  <c r="M9" i="7"/>
  <c r="K13" i="10"/>
  <c r="I13" i="10"/>
  <c r="G13" i="10"/>
  <c r="B7" i="10"/>
  <c r="C16" i="9"/>
  <c r="C15" i="9"/>
  <c r="C14" i="9"/>
  <c r="AA4" i="6"/>
  <c r="B15" i="9" s="1"/>
  <c r="AA3" i="6"/>
  <c r="B14" i="9" s="1"/>
  <c r="B7" i="26" s="1"/>
  <c r="AA5" i="6"/>
  <c r="B16" i="9" s="1"/>
  <c r="C30" i="9"/>
  <c r="C52" i="9"/>
  <c r="C28" i="9"/>
  <c r="C27" i="9"/>
  <c r="C51" i="9" s="1"/>
  <c r="B29" i="9"/>
  <c r="B27" i="9"/>
  <c r="B51" i="9" s="1"/>
  <c r="C16" i="3" s="1"/>
  <c r="C56" i="24" s="1"/>
  <c r="B30" i="9"/>
  <c r="K4" i="8"/>
  <c r="J6" i="8"/>
  <c r="J14" i="8"/>
  <c r="I14" i="3"/>
  <c r="I15" i="3" s="1"/>
  <c r="C16" i="26" l="1"/>
  <c r="C56" i="26" s="1"/>
  <c r="O8" i="27" s="1"/>
  <c r="P8" i="27" s="1"/>
  <c r="C17" i="26"/>
  <c r="C57" i="26" s="1"/>
  <c r="O9" i="27" s="1"/>
  <c r="P9" i="27" s="1"/>
  <c r="C18" i="26"/>
  <c r="C58" i="26" s="1"/>
  <c r="O10" i="27" s="1"/>
  <c r="P10" i="27" s="1"/>
  <c r="C14" i="26"/>
  <c r="C54" i="26" s="1"/>
  <c r="O6" i="27" s="1"/>
  <c r="P6" i="27" s="1"/>
  <c r="C19" i="26"/>
  <c r="C59" i="26" s="1"/>
  <c r="O11" i="27" s="1"/>
  <c r="P11" i="27" s="1"/>
  <c r="C20" i="26"/>
  <c r="C60" i="26" s="1"/>
  <c r="O12" i="27" s="1"/>
  <c r="P12" i="27" s="1"/>
  <c r="C15" i="26"/>
  <c r="C55" i="26" s="1"/>
  <c r="O7" i="27" s="1"/>
  <c r="P7" i="27" s="1"/>
  <c r="C12" i="26"/>
  <c r="C52" i="26" s="1"/>
  <c r="O4" i="27" s="1"/>
  <c r="P4" i="27" s="1"/>
  <c r="Y4" i="27" s="1"/>
  <c r="C13" i="26"/>
  <c r="C53" i="26" s="1"/>
  <c r="O5" i="27" s="1"/>
  <c r="P5" i="27" s="1"/>
  <c r="B53" i="9"/>
  <c r="C18" i="3" s="1"/>
  <c r="C53" i="9"/>
  <c r="C19" i="3" s="1"/>
  <c r="C6" i="3" s="1"/>
  <c r="AA24" i="14"/>
  <c r="AA26" i="14" s="1"/>
  <c r="Y24" i="14"/>
  <c r="Y26" i="14" s="1"/>
  <c r="Z24" i="14"/>
  <c r="Z26" i="14" s="1"/>
  <c r="AB24" i="14"/>
  <c r="AB26" i="14" s="1"/>
  <c r="AA6" i="6"/>
  <c r="C50" i="8"/>
  <c r="C32" i="3" l="1"/>
  <c r="R4" i="27"/>
  <c r="B21" i="9"/>
  <c r="D21" i="8"/>
  <c r="F23" i="15" l="1"/>
  <c r="F24" i="38"/>
  <c r="F44" i="8"/>
  <c r="C52" i="8"/>
  <c r="J17" i="8"/>
  <c r="J18" i="8" s="1"/>
  <c r="F46" i="8"/>
  <c r="B22" i="9"/>
  <c r="B24" i="9" s="1"/>
  <c r="E44" i="8"/>
  <c r="E28" i="8"/>
  <c r="D34" i="8"/>
  <c r="AB10" i="6"/>
  <c r="AA18" i="6"/>
  <c r="C53" i="8" l="1"/>
  <c r="C54" i="8" s="1"/>
  <c r="F11" i="12"/>
  <c r="AX24" i="12"/>
  <c r="D11" i="12"/>
  <c r="C11" i="12"/>
  <c r="AX21" i="12"/>
  <c r="B11" i="12"/>
  <c r="R21" i="12"/>
  <c r="R22" i="12"/>
  <c r="AO21" i="12"/>
  <c r="AO22" i="12"/>
  <c r="AA21" i="12"/>
  <c r="AA22" i="12"/>
  <c r="AX22" i="12"/>
  <c r="B8" i="9"/>
  <c r="E11" i="12" l="1"/>
  <c r="AB9" i="6"/>
  <c r="AB17" i="6" s="1"/>
  <c r="C24" i="9"/>
  <c r="I5" i="3"/>
  <c r="B43" i="9" l="1"/>
  <c r="AA21" i="6"/>
  <c r="W39" i="10"/>
  <c r="G39" i="10"/>
  <c r="J39" i="10" s="1"/>
  <c r="K39" i="10" s="1"/>
  <c r="P7" i="10" s="1"/>
  <c r="W38" i="10"/>
  <c r="I38" i="10"/>
  <c r="G38" i="10"/>
  <c r="J38" i="10" s="1"/>
  <c r="K38" i="10" s="1"/>
  <c r="W37" i="10"/>
  <c r="J37" i="10"/>
  <c r="K37" i="10" s="1"/>
  <c r="I37" i="10"/>
  <c r="G37" i="10"/>
  <c r="W36" i="10"/>
  <c r="J36" i="10"/>
  <c r="K36" i="10" s="1"/>
  <c r="I36" i="10"/>
  <c r="G36" i="10"/>
  <c r="W35" i="10"/>
  <c r="G35" i="10"/>
  <c r="J35" i="10" s="1"/>
  <c r="K35" i="10" s="1"/>
  <c r="W34" i="10"/>
  <c r="G34" i="10"/>
  <c r="J34" i="10" s="1"/>
  <c r="K34" i="10" s="1"/>
  <c r="W33" i="10"/>
  <c r="J33" i="10"/>
  <c r="K33" i="10" s="1"/>
  <c r="I33" i="10"/>
  <c r="G33" i="10"/>
  <c r="W32" i="10"/>
  <c r="J32" i="10"/>
  <c r="K32" i="10" s="1"/>
  <c r="G32" i="10"/>
  <c r="I32" i="10" s="1"/>
  <c r="W31" i="10"/>
  <c r="G31" i="10"/>
  <c r="J31" i="10" s="1"/>
  <c r="K31" i="10" s="1"/>
  <c r="P3" i="10" s="1"/>
  <c r="W30" i="10"/>
  <c r="G30" i="10"/>
  <c r="I30" i="10" s="1"/>
  <c r="W29" i="10"/>
  <c r="J29" i="10"/>
  <c r="K29" i="10" s="1"/>
  <c r="I29" i="10"/>
  <c r="G29" i="10"/>
  <c r="W28" i="10"/>
  <c r="J28" i="10"/>
  <c r="K28" i="10" s="1"/>
  <c r="G28" i="10"/>
  <c r="I28" i="10" s="1"/>
  <c r="W27" i="10"/>
  <c r="G27" i="10"/>
  <c r="J27" i="10" s="1"/>
  <c r="K27" i="10" s="1"/>
  <c r="U6" i="10" s="1"/>
  <c r="W26" i="10"/>
  <c r="G26" i="10"/>
  <c r="J26" i="10" s="1"/>
  <c r="K26" i="10" s="1"/>
  <c r="W25" i="10"/>
  <c r="J25" i="10"/>
  <c r="K25" i="10" s="1"/>
  <c r="O6" i="10" s="1"/>
  <c r="I25" i="10"/>
  <c r="G25" i="10"/>
  <c r="W24" i="10"/>
  <c r="J24" i="10"/>
  <c r="K24" i="10" s="1"/>
  <c r="I24" i="10"/>
  <c r="G24" i="10"/>
  <c r="W23" i="10"/>
  <c r="G23" i="10"/>
  <c r="J23" i="10" s="1"/>
  <c r="K23" i="10" s="1"/>
  <c r="V6" i="10" s="1"/>
  <c r="W22" i="10"/>
  <c r="G22" i="10"/>
  <c r="I22" i="10" s="1"/>
  <c r="W21" i="10"/>
  <c r="J21" i="10"/>
  <c r="K21" i="10" s="1"/>
  <c r="S6" i="10" s="1"/>
  <c r="I21" i="10"/>
  <c r="G21" i="10"/>
  <c r="W20" i="10"/>
  <c r="J20" i="10"/>
  <c r="K20" i="10" s="1"/>
  <c r="N6" i="10" s="1"/>
  <c r="G20" i="10"/>
  <c r="I20" i="10" s="1"/>
  <c r="W19" i="10"/>
  <c r="G19" i="10"/>
  <c r="J19" i="10" s="1"/>
  <c r="K19" i="10" s="1"/>
  <c r="W18" i="10"/>
  <c r="G18" i="10"/>
  <c r="J18" i="10" s="1"/>
  <c r="K18" i="10" s="1"/>
  <c r="W17" i="10"/>
  <c r="J17" i="10"/>
  <c r="K17" i="10" s="1"/>
  <c r="I17" i="10"/>
  <c r="G17" i="10"/>
  <c r="W16" i="10"/>
  <c r="J16" i="10"/>
  <c r="K16" i="10" s="1"/>
  <c r="I16" i="10"/>
  <c r="G16" i="10"/>
  <c r="W15" i="10"/>
  <c r="G15" i="10"/>
  <c r="J15" i="10" s="1"/>
  <c r="K15" i="10" s="1"/>
  <c r="Q6" i="10" s="1"/>
  <c r="W14" i="10"/>
  <c r="G14" i="10"/>
  <c r="I14" i="10" s="1"/>
  <c r="W13" i="10"/>
  <c r="J13" i="10"/>
  <c r="U8" i="10"/>
  <c r="T8" i="10"/>
  <c r="S8" i="10"/>
  <c r="R8" i="10"/>
  <c r="V7" i="10"/>
  <c r="U7" i="10"/>
  <c r="T7" i="10"/>
  <c r="Q7" i="10"/>
  <c r="O7" i="10"/>
  <c r="N7" i="10"/>
  <c r="M7" i="10"/>
  <c r="M6" i="10"/>
  <c r="V5" i="10"/>
  <c r="U5" i="10"/>
  <c r="T5" i="10"/>
  <c r="S5" i="10"/>
  <c r="Q5" i="10"/>
  <c r="P5" i="10"/>
  <c r="O5" i="10"/>
  <c r="N5" i="10"/>
  <c r="M5" i="10"/>
  <c r="V4" i="10"/>
  <c r="U4" i="10"/>
  <c r="T4" i="10"/>
  <c r="S4" i="10"/>
  <c r="Q4" i="10"/>
  <c r="O4" i="10"/>
  <c r="N4" i="10"/>
  <c r="M4" i="10"/>
  <c r="V3" i="10"/>
  <c r="U3" i="10"/>
  <c r="T3" i="10"/>
  <c r="Q3" i="10"/>
  <c r="O3" i="10"/>
  <c r="N3" i="10"/>
  <c r="B9" i="9" l="1"/>
  <c r="I4" i="3"/>
  <c r="P6" i="10"/>
  <c r="M3" i="10"/>
  <c r="H2" i="10"/>
  <c r="T6" i="10"/>
  <c r="H4" i="10"/>
  <c r="J14" i="10"/>
  <c r="K14" i="10" s="1"/>
  <c r="S3" i="10" s="1"/>
  <c r="I19" i="10"/>
  <c r="J22" i="10"/>
  <c r="K22" i="10" s="1"/>
  <c r="I27" i="10"/>
  <c r="J30" i="10"/>
  <c r="K30" i="10" s="1"/>
  <c r="P4" i="10" s="1"/>
  <c r="I35" i="10"/>
  <c r="I18" i="10"/>
  <c r="I26" i="10"/>
  <c r="I34" i="10"/>
  <c r="I15" i="10"/>
  <c r="D7" i="10" s="1"/>
  <c r="I23" i="10"/>
  <c r="I31" i="10"/>
  <c r="I39" i="10"/>
  <c r="B10" i="9" l="1"/>
  <c r="B45" i="9"/>
  <c r="AB17" i="14"/>
  <c r="Z17" i="14"/>
  <c r="AA17" i="14"/>
  <c r="Y17" i="14"/>
  <c r="I4" i="10"/>
  <c r="F7" i="10"/>
  <c r="I2" i="10"/>
  <c r="I3" i="10"/>
  <c r="S7" i="10"/>
  <c r="H3" i="10"/>
  <c r="B46" i="9" l="1"/>
  <c r="I6" i="3"/>
  <c r="I8" i="3" s="1"/>
  <c r="I17" i="3" s="1"/>
  <c r="J5" i="8"/>
  <c r="E29" i="8"/>
  <c r="E30" i="8"/>
  <c r="E7" i="8"/>
  <c r="E8" i="8"/>
  <c r="E9" i="8"/>
  <c r="E10" i="8"/>
  <c r="E11" i="8"/>
  <c r="E12" i="8"/>
  <c r="E13" i="8"/>
  <c r="E14" i="8"/>
  <c r="E15" i="8"/>
  <c r="E6" i="8"/>
  <c r="E5" i="8"/>
  <c r="E4" i="8"/>
  <c r="T77" i="6"/>
  <c r="H9" i="7"/>
  <c r="H8" i="7"/>
  <c r="H7" i="7"/>
  <c r="H6" i="7"/>
  <c r="H5" i="7"/>
  <c r="H4" i="7"/>
  <c r="M3" i="7"/>
  <c r="H3" i="7"/>
  <c r="M2" i="7"/>
  <c r="M4" i="7" s="1"/>
  <c r="H2" i="7"/>
  <c r="A77" i="6"/>
  <c r="B28" i="23" l="1"/>
  <c r="B45" i="23" s="1"/>
  <c r="B28" i="9"/>
  <c r="J8" i="8"/>
  <c r="AA12" i="6"/>
  <c r="B52" i="9" l="1"/>
  <c r="C17" i="3" s="1"/>
  <c r="AB18" i="6"/>
  <c r="AB20" i="6" s="1"/>
  <c r="AB21" i="6" s="1"/>
  <c r="C10" i="9" s="1"/>
  <c r="C46" i="9" s="1"/>
  <c r="AB12" i="6"/>
  <c r="R7" i="27" l="1"/>
  <c r="I5" i="12"/>
  <c r="L5" i="4"/>
  <c r="Y5" i="27" l="1"/>
  <c r="R5" i="27"/>
  <c r="Y6" i="27"/>
  <c r="R6" i="27"/>
  <c r="Y7" i="27"/>
  <c r="Y10" i="27"/>
  <c r="R10" i="27"/>
  <c r="Y8" i="27"/>
  <c r="R8" i="27"/>
  <c r="Y12" i="27"/>
  <c r="R12" i="27"/>
  <c r="Y9" i="27"/>
  <c r="R9" i="27"/>
  <c r="Y11" i="27"/>
  <c r="R11" i="27"/>
  <c r="L6" i="4"/>
  <c r="I6" i="12"/>
  <c r="G16" i="12" s="1"/>
  <c r="S17" i="12"/>
  <c r="S19" i="12" s="1"/>
  <c r="AR17" i="12"/>
  <c r="AS17" i="12"/>
  <c r="W17" i="12"/>
  <c r="Z17" i="12"/>
  <c r="AQ17" i="12"/>
  <c r="AW17" i="12"/>
  <c r="Y17" i="12"/>
  <c r="AP17" i="12"/>
  <c r="U17" i="12"/>
  <c r="AU17" i="12"/>
  <c r="V17" i="12"/>
  <c r="AV17" i="12"/>
  <c r="AT17" i="12"/>
  <c r="X17" i="12"/>
  <c r="T17" i="12"/>
  <c r="R13" i="27" l="1"/>
  <c r="Y13" i="27"/>
  <c r="L7" i="4" s="1"/>
  <c r="L8" i="4" s="1"/>
  <c r="AV24" i="12"/>
  <c r="AW19" i="12"/>
  <c r="AW22" i="12" s="1"/>
  <c r="AW16" i="12" s="1"/>
  <c r="AW23" i="12" s="1"/>
  <c r="AQ19" i="12"/>
  <c r="AQ22" i="12" s="1"/>
  <c r="AQ16" i="12" s="1"/>
  <c r="AQ23" i="12" s="1"/>
  <c r="AP24" i="12"/>
  <c r="Y24" i="12"/>
  <c r="Z19" i="12"/>
  <c r="Z22" i="12" s="1"/>
  <c r="Z16" i="12" s="1"/>
  <c r="Z23" i="12" s="1"/>
  <c r="X19" i="12"/>
  <c r="X22" i="12" s="1"/>
  <c r="X16" i="12" s="1"/>
  <c r="X23" i="12" s="1"/>
  <c r="W24" i="12"/>
  <c r="W19" i="12"/>
  <c r="W22" i="12" s="1"/>
  <c r="W16" i="12" s="1"/>
  <c r="W23" i="12" s="1"/>
  <c r="V24" i="12"/>
  <c r="AV19" i="12"/>
  <c r="AV22" i="12" s="1"/>
  <c r="AV16" i="12" s="1"/>
  <c r="AV23" i="12" s="1"/>
  <c r="AU24" i="12"/>
  <c r="AS19" i="12"/>
  <c r="AS22" i="12" s="1"/>
  <c r="AS16" i="12" s="1"/>
  <c r="AS23" i="12" s="1"/>
  <c r="AR24" i="12"/>
  <c r="AT19" i="12"/>
  <c r="AT22" i="12" s="1"/>
  <c r="AT16" i="12" s="1"/>
  <c r="AT23" i="12" s="1"/>
  <c r="AS24" i="12"/>
  <c r="U19" i="12"/>
  <c r="U22" i="12" s="1"/>
  <c r="U16" i="12" s="1"/>
  <c r="U23" i="12" s="1"/>
  <c r="T24" i="12"/>
  <c r="AR19" i="12"/>
  <c r="AR22" i="12" s="1"/>
  <c r="AR16" i="12" s="1"/>
  <c r="AR23" i="12" s="1"/>
  <c r="AQ24" i="12"/>
  <c r="V19" i="12"/>
  <c r="V22" i="12" s="1"/>
  <c r="V16" i="12" s="1"/>
  <c r="V23" i="12" s="1"/>
  <c r="U24" i="12"/>
  <c r="AO24" i="12"/>
  <c r="AP19" i="12"/>
  <c r="AP22" i="12" s="1"/>
  <c r="AP16" i="12" s="1"/>
  <c r="AP23" i="12" s="1"/>
  <c r="S22" i="12"/>
  <c r="S16" i="12" s="1"/>
  <c r="S23" i="12" s="1"/>
  <c r="R24" i="12"/>
  <c r="F17" i="12"/>
  <c r="O5" i="12" s="1"/>
  <c r="B17" i="12"/>
  <c r="AU19" i="12"/>
  <c r="AU22" i="12" s="1"/>
  <c r="AU16" i="12" s="1"/>
  <c r="AU23" i="12" s="1"/>
  <c r="AT24" i="12"/>
  <c r="T19" i="12"/>
  <c r="T22" i="12" s="1"/>
  <c r="T16" i="12" s="1"/>
  <c r="T23" i="12" s="1"/>
  <c r="S24" i="12"/>
  <c r="Y19" i="12"/>
  <c r="Y22" i="12" s="1"/>
  <c r="Y16" i="12" s="1"/>
  <c r="Y23" i="12" s="1"/>
  <c r="X24" i="12"/>
  <c r="G23" i="12"/>
  <c r="AB16" i="12"/>
  <c r="AB23" i="12" s="1"/>
  <c r="O16" i="12"/>
  <c r="O23" i="12" s="1"/>
  <c r="J16" i="12"/>
  <c r="J23" i="12" s="1"/>
  <c r="AY16" i="12"/>
  <c r="AY23" i="12" s="1"/>
  <c r="BD16" i="12"/>
  <c r="BD23" i="12" s="1"/>
  <c r="L16" i="12"/>
  <c r="L23" i="12" s="1"/>
  <c r="BC16" i="12"/>
  <c r="BC23" i="12" s="1"/>
  <c r="BE16" i="12"/>
  <c r="BE23" i="12" s="1"/>
  <c r="AE16" i="12"/>
  <c r="AE23" i="12" s="1"/>
  <c r="Q16" i="12"/>
  <c r="Q23" i="12" s="1"/>
  <c r="BF16" i="12"/>
  <c r="BF23" i="12" s="1"/>
  <c r="N16" i="12"/>
  <c r="N23" i="12" s="1"/>
  <c r="P16" i="12"/>
  <c r="P23" i="12" s="1"/>
  <c r="AM16" i="12"/>
  <c r="AM23" i="12" s="1"/>
  <c r="AG16" i="12"/>
  <c r="AG23" i="12" s="1"/>
  <c r="AF16" i="12"/>
  <c r="AF23" i="12" s="1"/>
  <c r="I16" i="12"/>
  <c r="I23" i="12" s="1"/>
  <c r="BA16" i="12"/>
  <c r="BA23" i="12" s="1"/>
  <c r="AN16" i="12"/>
  <c r="AN23" i="12" s="1"/>
  <c r="AD16" i="12"/>
  <c r="AD23" i="12" s="1"/>
  <c r="M16" i="12"/>
  <c r="M23" i="12" s="1"/>
  <c r="BB16" i="12"/>
  <c r="BB23" i="12" s="1"/>
  <c r="AK16" i="12"/>
  <c r="AK23" i="12" s="1"/>
  <c r="K16" i="12"/>
  <c r="K23" i="12" s="1"/>
  <c r="H16" i="12"/>
  <c r="H23" i="12" s="1"/>
  <c r="AH16" i="12"/>
  <c r="AH23" i="12" s="1"/>
  <c r="AI16" i="12"/>
  <c r="AI23" i="12" s="1"/>
  <c r="AC16" i="12"/>
  <c r="AC23" i="12" s="1"/>
  <c r="AZ16" i="12"/>
  <c r="AZ23" i="12" s="1"/>
  <c r="AO16" i="12"/>
  <c r="AO23" i="12" s="1"/>
  <c r="R16" i="12"/>
  <c r="R23" i="12" s="1"/>
  <c r="AA16" i="12"/>
  <c r="AA23" i="12" s="1"/>
  <c r="AX16" i="12"/>
  <c r="AX23" i="12" s="1"/>
  <c r="I25" i="4" l="1"/>
  <c r="F24" i="12"/>
  <c r="O6" i="12" s="1"/>
  <c r="G5" i="4"/>
  <c r="F4" i="3" s="1"/>
  <c r="I26" i="4" l="1"/>
  <c r="C33" i="3" l="1"/>
  <c r="F8" i="3"/>
  <c r="Y16" i="14"/>
  <c r="Y19" i="14" s="1"/>
  <c r="Z16" i="14"/>
  <c r="Z19" i="14" s="1"/>
  <c r="AA16" i="14"/>
  <c r="AA19" i="14" s="1"/>
  <c r="AB16" i="14"/>
  <c r="AB19" i="14" s="1"/>
  <c r="G15" i="39" l="1"/>
  <c r="I15" i="39" s="1"/>
  <c r="J15" i="39" s="1"/>
  <c r="K15" i="39" s="1"/>
  <c r="L15" i="39" s="1"/>
  <c r="M15" i="39" s="1"/>
  <c r="N15" i="39" s="1"/>
  <c r="O15" i="39" s="1"/>
  <c r="P15" i="39" s="1"/>
  <c r="Q15" i="39" s="1"/>
  <c r="R15" i="39" s="1"/>
  <c r="S15" i="39" s="1"/>
  <c r="T15" i="39" s="1"/>
  <c r="U15" i="39" s="1"/>
  <c r="V15" i="39" s="1"/>
  <c r="W15" i="39" s="1"/>
  <c r="X15" i="39" s="1"/>
  <c r="Y15" i="39" s="1"/>
  <c r="Z15" i="39" s="1"/>
  <c r="AA15" i="39" s="1"/>
  <c r="G12" i="38"/>
  <c r="H12" i="38" s="1"/>
  <c r="I12" i="38" s="1"/>
  <c r="J12" i="38" s="1"/>
  <c r="K12" i="38" s="1"/>
  <c r="L12" i="38" s="1"/>
  <c r="M12" i="38" s="1"/>
  <c r="N12" i="38" s="1"/>
  <c r="O12" i="38" s="1"/>
  <c r="P12" i="38" s="1"/>
  <c r="Q12" i="38" s="1"/>
  <c r="R12" i="38" s="1"/>
  <c r="S12" i="38" s="1"/>
  <c r="T12" i="38" s="1"/>
  <c r="U12" i="38" s="1"/>
  <c r="V12" i="38" s="1"/>
  <c r="W12" i="38" s="1"/>
  <c r="X12" i="38" s="1"/>
  <c r="Y12" i="38" s="1"/>
  <c r="Z12" i="38" s="1"/>
  <c r="F24" i="15"/>
  <c r="F25" i="38"/>
  <c r="G11" i="15"/>
  <c r="P11" i="15"/>
  <c r="T16" i="31"/>
  <c r="AA16" i="31"/>
  <c r="Y16" i="31"/>
  <c r="W16" i="31"/>
  <c r="AB16" i="31"/>
  <c r="S16" i="31"/>
  <c r="U16" i="31"/>
  <c r="X16" i="31"/>
  <c r="Z16" i="31"/>
  <c r="V16" i="31"/>
  <c r="R16" i="31"/>
  <c r="N16" i="31"/>
  <c r="J16" i="31"/>
  <c r="Q16" i="31"/>
  <c r="O16" i="31"/>
  <c r="M16" i="31"/>
  <c r="L16" i="31"/>
  <c r="P16" i="31"/>
  <c r="K16" i="31"/>
  <c r="G16" i="31"/>
  <c r="H16" i="31" s="1"/>
  <c r="I16" i="31"/>
  <c r="I16" i="14"/>
  <c r="M16" i="14"/>
  <c r="R15" i="17"/>
  <c r="O15" i="17"/>
  <c r="S15" i="17"/>
  <c r="W16" i="14"/>
  <c r="X16" i="14"/>
  <c r="K15" i="17"/>
  <c r="U15" i="17"/>
  <c r="V15" i="17"/>
  <c r="N16" i="14"/>
  <c r="Q16" i="14"/>
  <c r="T16" i="14"/>
  <c r="J15" i="17"/>
  <c r="M15" i="17"/>
  <c r="R16" i="14"/>
  <c r="P15" i="17"/>
  <c r="T15" i="17"/>
  <c r="O16" i="14"/>
  <c r="P16" i="14"/>
  <c r="N15" i="17"/>
  <c r="L15" i="17"/>
  <c r="S16" i="14"/>
  <c r="U16" i="14"/>
  <c r="L16" i="14"/>
  <c r="Q15" i="17"/>
  <c r="I15" i="17"/>
  <c r="W15" i="17"/>
  <c r="V16" i="14"/>
  <c r="J16" i="14"/>
  <c r="K16" i="14"/>
  <c r="AL22" i="12"/>
  <c r="AL16" i="12" s="1"/>
  <c r="AL23" i="12" s="1"/>
  <c r="AJ22" i="12"/>
  <c r="AJ16" i="12" s="1"/>
  <c r="AJ23" i="12" s="1"/>
  <c r="B18" i="12"/>
  <c r="H15" i="39" l="1"/>
  <c r="O4" i="12"/>
  <c r="Q4" i="12" l="1"/>
  <c r="AB9" i="14"/>
  <c r="AB11" i="14" s="1"/>
  <c r="AB22" i="14" s="1"/>
  <c r="Z9" i="14"/>
  <c r="Z11" i="14" s="1"/>
  <c r="Z22" i="14" s="1"/>
  <c r="Y9" i="14"/>
  <c r="Y11" i="14" s="1"/>
  <c r="Y22" i="14" s="1"/>
  <c r="AA9" i="14"/>
  <c r="AA11" i="14" s="1"/>
  <c r="AA22" i="14" s="1"/>
  <c r="F16" i="12"/>
  <c r="AB30" i="14" l="1"/>
  <c r="AB42" i="14"/>
  <c r="Y30" i="14"/>
  <c r="Y42" i="14"/>
  <c r="Z42" i="14"/>
  <c r="Z30" i="14"/>
  <c r="AA42" i="14"/>
  <c r="AA30" i="14"/>
  <c r="M11" i="15"/>
  <c r="K11" i="15"/>
  <c r="T11" i="15"/>
  <c r="R11" i="15"/>
  <c r="U11" i="15"/>
  <c r="L11" i="15"/>
  <c r="Z11" i="15"/>
  <c r="J11" i="15"/>
  <c r="S11" i="15"/>
  <c r="H11" i="15"/>
  <c r="Y11" i="15"/>
  <c r="X11" i="15"/>
  <c r="O11" i="15"/>
  <c r="Q11" i="15"/>
  <c r="W11" i="15"/>
  <c r="N11" i="15"/>
  <c r="I11" i="15"/>
  <c r="V11" i="15"/>
  <c r="AA44" i="14" l="1"/>
  <c r="AA37" i="14"/>
  <c r="Y44" i="14"/>
  <c r="Y37" i="14"/>
  <c r="Z44" i="14"/>
  <c r="Z37" i="14"/>
  <c r="AB44" i="14"/>
  <c r="AB37" i="14"/>
  <c r="AB46" i="14" l="1"/>
  <c r="AB48" i="14"/>
  <c r="AA48" i="14"/>
  <c r="AA46" i="14"/>
  <c r="Z46" i="14"/>
  <c r="Z48" i="14"/>
  <c r="Y48" i="14"/>
  <c r="Y46" i="14"/>
  <c r="H29" i="24" l="1"/>
  <c r="G7" i="4" l="1"/>
  <c r="F6" i="3" s="1"/>
  <c r="G14" i="38" s="1"/>
  <c r="C34" i="38" l="1"/>
  <c r="C31" i="39"/>
  <c r="F6" i="38"/>
  <c r="F15" i="38" s="1"/>
  <c r="G13" i="15"/>
  <c r="C31" i="31"/>
  <c r="F6" i="15"/>
  <c r="F14" i="15" s="1"/>
  <c r="C31" i="3"/>
  <c r="I26" i="17"/>
  <c r="V26" i="17"/>
  <c r="Q26" i="17"/>
  <c r="N26" i="17"/>
  <c r="C27" i="14"/>
  <c r="X33" i="14" s="1"/>
  <c r="U26" i="17"/>
  <c r="R26" i="17"/>
  <c r="P26" i="17"/>
  <c r="L26" i="17"/>
  <c r="S26" i="17"/>
  <c r="T26" i="17"/>
  <c r="O26" i="17"/>
  <c r="M26" i="17"/>
  <c r="J26" i="17"/>
  <c r="K26" i="17"/>
  <c r="W26" i="17"/>
  <c r="G29" i="39" l="1"/>
  <c r="G31" i="39" s="1"/>
  <c r="T29" i="39"/>
  <c r="T31" i="39" s="1"/>
  <c r="L29" i="39"/>
  <c r="L31" i="39" s="1"/>
  <c r="R29" i="39"/>
  <c r="R31" i="39" s="1"/>
  <c r="J29" i="39"/>
  <c r="J31" i="39" s="1"/>
  <c r="O29" i="39"/>
  <c r="O31" i="39" s="1"/>
  <c r="U29" i="39"/>
  <c r="U31" i="39" s="1"/>
  <c r="M29" i="39"/>
  <c r="M31" i="39" s="1"/>
  <c r="N29" i="39"/>
  <c r="N31" i="39" s="1"/>
  <c r="V29" i="39"/>
  <c r="K29" i="39"/>
  <c r="K31" i="39" s="1"/>
  <c r="P29" i="39"/>
  <c r="P31" i="39" s="1"/>
  <c r="S29" i="39"/>
  <c r="S31" i="39" s="1"/>
  <c r="I29" i="39"/>
  <c r="I31" i="39" s="1"/>
  <c r="Q29" i="39"/>
  <c r="C33" i="39"/>
  <c r="F22" i="15"/>
  <c r="F23" i="38"/>
  <c r="F16" i="38"/>
  <c r="F15" i="15"/>
  <c r="G28" i="31"/>
  <c r="H28" i="31" s="1"/>
  <c r="I28" i="31"/>
  <c r="I30" i="31" s="1"/>
  <c r="Q28" i="31"/>
  <c r="J28" i="31"/>
  <c r="J30" i="31" s="1"/>
  <c r="R28" i="31"/>
  <c r="K28" i="31"/>
  <c r="K30" i="31" s="1"/>
  <c r="S28" i="31"/>
  <c r="S30" i="31" s="1"/>
  <c r="L28" i="31"/>
  <c r="L30" i="31" s="1"/>
  <c r="T28" i="31"/>
  <c r="T30" i="31" s="1"/>
  <c r="M28" i="31"/>
  <c r="M30" i="31" s="1"/>
  <c r="U28" i="31"/>
  <c r="U30" i="31" s="1"/>
  <c r="N28" i="31"/>
  <c r="N30" i="31" s="1"/>
  <c r="V28" i="31"/>
  <c r="O28" i="31"/>
  <c r="O30" i="31" s="1"/>
  <c r="W28" i="31"/>
  <c r="P28" i="31"/>
  <c r="P30" i="31" s="1"/>
  <c r="Y30" i="31"/>
  <c r="AB30" i="31"/>
  <c r="AA30" i="31"/>
  <c r="X30" i="31"/>
  <c r="Z30" i="31"/>
  <c r="C33" i="31"/>
  <c r="Q29" i="31" s="1"/>
  <c r="C34" i="15"/>
  <c r="C29" i="14"/>
  <c r="K33" i="14"/>
  <c r="K35" i="14" s="1"/>
  <c r="I33" i="14"/>
  <c r="I35" i="14" s="1"/>
  <c r="N33" i="14"/>
  <c r="N35" i="14" s="1"/>
  <c r="J33" i="14"/>
  <c r="J35" i="14" s="1"/>
  <c r="L33" i="14"/>
  <c r="L35" i="14" s="1"/>
  <c r="Q33" i="14"/>
  <c r="Q35" i="14" s="1"/>
  <c r="T33" i="14"/>
  <c r="T35" i="14" s="1"/>
  <c r="M33" i="14"/>
  <c r="M35" i="14" s="1"/>
  <c r="P33" i="14"/>
  <c r="P35" i="14" s="1"/>
  <c r="W33" i="14"/>
  <c r="O33" i="14"/>
  <c r="O35" i="14" s="1"/>
  <c r="U33" i="14"/>
  <c r="U35" i="14" s="1"/>
  <c r="R33" i="14"/>
  <c r="R35" i="14" s="1"/>
  <c r="V33" i="14"/>
  <c r="V35" i="14" s="1"/>
  <c r="S33" i="14"/>
  <c r="W34" i="14"/>
  <c r="V30" i="39" l="1"/>
  <c r="V31" i="39" s="1"/>
  <c r="Q30" i="39"/>
  <c r="Q31" i="39" s="1"/>
  <c r="H29" i="39"/>
  <c r="H31" i="39"/>
  <c r="Q30" i="31"/>
  <c r="G29" i="31"/>
  <c r="V29" i="31"/>
  <c r="V30" i="31" s="1"/>
  <c r="W29" i="31"/>
  <c r="W30" i="31" s="1"/>
  <c r="R29" i="31"/>
  <c r="R30" i="31" s="1"/>
  <c r="X34" i="14"/>
  <c r="X35" i="14" s="1"/>
  <c r="S34" i="14"/>
  <c r="S35" i="14" s="1"/>
  <c r="W35" i="14"/>
  <c r="G30" i="31" l="1"/>
  <c r="H30" i="31" s="1"/>
  <c r="H29" i="31"/>
  <c r="D7" i="29"/>
  <c r="F7" i="29" s="1"/>
  <c r="F8" i="29" s="1"/>
  <c r="F23" i="29"/>
  <c r="F24" i="29" l="1"/>
  <c r="F12" i="29" s="1"/>
  <c r="D8" i="29"/>
  <c r="H61" i="24" l="1"/>
  <c r="H57" i="24" s="1"/>
  <c r="H59" i="24" l="1"/>
  <c r="H67" i="24" s="1"/>
  <c r="I71" i="24" s="1"/>
  <c r="J74" i="24" s="1"/>
  <c r="I36" i="24"/>
  <c r="H56" i="24" l="1"/>
  <c r="I60" i="24" s="1"/>
  <c r="J63" i="24" s="1"/>
  <c r="H66" i="24"/>
  <c r="H73" i="24" s="1"/>
  <c r="H19" i="24" l="1"/>
  <c r="H55" i="24"/>
  <c r="H62" i="24" s="1"/>
  <c r="H23" i="24"/>
  <c r="I72" i="24"/>
  <c r="I24" i="24" l="1"/>
  <c r="H22" i="24"/>
  <c r="H34" i="24" s="1"/>
  <c r="I61" i="24"/>
  <c r="H21" i="24"/>
  <c r="I68" i="24"/>
  <c r="I70" i="24"/>
  <c r="H13" i="24"/>
  <c r="H12" i="24" l="1"/>
  <c r="H33" i="24"/>
  <c r="J36" i="24"/>
  <c r="I57" i="24"/>
  <c r="I59" i="24"/>
  <c r="I67" i="24" s="1"/>
  <c r="H17" i="24" l="1"/>
  <c r="J25" i="24"/>
  <c r="I56" i="24"/>
  <c r="J71" i="24"/>
  <c r="K74" i="24" s="1"/>
  <c r="I66" i="24"/>
  <c r="J60" i="24" l="1"/>
  <c r="K63" i="24" s="1"/>
  <c r="I19" i="24"/>
  <c r="I55" i="24"/>
  <c r="I73" i="24"/>
  <c r="J24" i="24" l="1"/>
  <c r="I23" i="24"/>
  <c r="J72" i="24"/>
  <c r="I62" i="24"/>
  <c r="I21" i="24" s="1"/>
  <c r="I40" i="24" s="1"/>
  <c r="J68" i="24" l="1"/>
  <c r="J70" i="24"/>
  <c r="I22" i="24"/>
  <c r="I34" i="24" s="1"/>
  <c r="J61" i="24"/>
  <c r="I13" i="24"/>
  <c r="I12" i="24" l="1"/>
  <c r="J57" i="24"/>
  <c r="K36" i="24"/>
  <c r="J59" i="24"/>
  <c r="I33" i="24"/>
  <c r="I17" i="24" s="1"/>
  <c r="J56" i="24" l="1"/>
  <c r="K25" i="24"/>
  <c r="J67" i="24"/>
  <c r="K71" i="24" l="1"/>
  <c r="L74" i="24" s="1"/>
  <c r="J66" i="24"/>
  <c r="K60" i="24"/>
  <c r="L63" i="24" s="1"/>
  <c r="J19" i="24"/>
  <c r="J55" i="24"/>
  <c r="K24" i="24" l="1"/>
  <c r="J62" i="24"/>
  <c r="J21" i="24" s="1"/>
  <c r="J73" i="24"/>
  <c r="J22" i="24" l="1"/>
  <c r="K61" i="24"/>
  <c r="J23" i="24"/>
  <c r="K72" i="24"/>
  <c r="L36" i="24" l="1"/>
  <c r="K57" i="24"/>
  <c r="K59" i="24"/>
  <c r="K68" i="24"/>
  <c r="K70" i="24"/>
  <c r="J34" i="24"/>
  <c r="I20" i="24"/>
  <c r="J13" i="24"/>
  <c r="J12" i="24"/>
  <c r="J33" i="24"/>
  <c r="J40" i="24"/>
  <c r="K56" i="24" l="1"/>
  <c r="J17" i="24"/>
  <c r="K67" i="24"/>
  <c r="L25" i="24"/>
  <c r="L71" i="24" l="1"/>
  <c r="M74" i="24" s="1"/>
  <c r="K66" i="24"/>
  <c r="L60" i="24"/>
  <c r="M63" i="24" s="1"/>
  <c r="K19" i="24"/>
  <c r="K55" i="24"/>
  <c r="L24" i="24" l="1"/>
  <c r="K62" i="24"/>
  <c r="K21" i="24" s="1"/>
  <c r="K73" i="24"/>
  <c r="K22" i="24" l="1"/>
  <c r="L61" i="24"/>
  <c r="K23" i="24"/>
  <c r="L72" i="24"/>
  <c r="L68" i="24" l="1"/>
  <c r="L70" i="24"/>
  <c r="M36" i="24"/>
  <c r="L57" i="24"/>
  <c r="L59" i="24"/>
  <c r="K33" i="24"/>
  <c r="K12" i="24"/>
  <c r="K40" i="24"/>
  <c r="K13" i="24"/>
  <c r="K34" i="24"/>
  <c r="J20" i="24"/>
  <c r="J41" i="24" s="1"/>
  <c r="L56" i="24" l="1"/>
  <c r="M25" i="24"/>
  <c r="K17" i="24"/>
  <c r="L67" i="24"/>
  <c r="M71" i="24" l="1"/>
  <c r="N74" i="24" s="1"/>
  <c r="L66" i="24"/>
  <c r="M60" i="24"/>
  <c r="N63" i="24" s="1"/>
  <c r="L19" i="24"/>
  <c r="L55" i="24"/>
  <c r="M24" i="24" l="1"/>
  <c r="L73" i="24"/>
  <c r="L62" i="24"/>
  <c r="L21" i="24" s="1"/>
  <c r="L23" i="24" l="1"/>
  <c r="M72" i="24"/>
  <c r="L22" i="24"/>
  <c r="M61" i="24"/>
  <c r="L33" i="24" l="1"/>
  <c r="L12" i="24"/>
  <c r="L40" i="24"/>
  <c r="M57" i="24"/>
  <c r="N36" i="24"/>
  <c r="M59" i="24"/>
  <c r="K20" i="24"/>
  <c r="K41" i="24" s="1"/>
  <c r="L34" i="24"/>
  <c r="M68" i="24"/>
  <c r="M70" i="24"/>
  <c r="L13" i="24"/>
  <c r="M67" i="24" l="1"/>
  <c r="N25" i="24"/>
  <c r="M56" i="24"/>
  <c r="L17" i="24"/>
  <c r="N60" i="24" l="1"/>
  <c r="O63" i="24" s="1"/>
  <c r="M19" i="24"/>
  <c r="M55" i="24"/>
  <c r="N71" i="24"/>
  <c r="O74" i="24" s="1"/>
  <c r="M66" i="24"/>
  <c r="M73" i="24" l="1"/>
  <c r="N24" i="24"/>
  <c r="M62" i="24"/>
  <c r="M21" i="24" s="1"/>
  <c r="M22" i="24" l="1"/>
  <c r="N61" i="24"/>
  <c r="M23" i="24"/>
  <c r="M13" i="24" s="1"/>
  <c r="N72" i="24"/>
  <c r="N68" i="24" l="1"/>
  <c r="N70" i="24"/>
  <c r="M33" i="24"/>
  <c r="M12" i="24"/>
  <c r="M40" i="24"/>
  <c r="O36" i="24"/>
  <c r="N57" i="24"/>
  <c r="N59" i="24"/>
  <c r="L20" i="24"/>
  <c r="L41" i="24" s="1"/>
  <c r="M34" i="24"/>
  <c r="I42" i="24" l="1"/>
  <c r="M17" i="24"/>
  <c r="N67" i="24"/>
  <c r="N56" i="24"/>
  <c r="O25" i="24"/>
  <c r="O60" i="24" l="1"/>
  <c r="P63" i="24" s="1"/>
  <c r="N19" i="24"/>
  <c r="N55" i="24"/>
  <c r="O71" i="24"/>
  <c r="P74" i="24" s="1"/>
  <c r="N66" i="24"/>
  <c r="O24" i="24" l="1"/>
  <c r="N73" i="24"/>
  <c r="N62" i="24"/>
  <c r="N21" i="24" s="1"/>
  <c r="N22" i="24" l="1"/>
  <c r="O61" i="24"/>
  <c r="N23" i="24"/>
  <c r="N13" i="24" s="1"/>
  <c r="O72" i="24"/>
  <c r="P36" i="24" l="1"/>
  <c r="O57" i="24"/>
  <c r="O59" i="24"/>
  <c r="N33" i="24"/>
  <c r="N12" i="24"/>
  <c r="N40" i="24"/>
  <c r="O68" i="24"/>
  <c r="O70" i="24"/>
  <c r="M20" i="24"/>
  <c r="M41" i="24" s="1"/>
  <c r="N34" i="24"/>
  <c r="J42" i="24" l="1"/>
  <c r="N17" i="24"/>
  <c r="O56" i="24"/>
  <c r="O67" i="24"/>
  <c r="P25" i="24"/>
  <c r="P60" i="24" l="1"/>
  <c r="Q63" i="24" s="1"/>
  <c r="O19" i="24"/>
  <c r="O55" i="24"/>
  <c r="P71" i="24"/>
  <c r="Q74" i="24" s="1"/>
  <c r="O66" i="24"/>
  <c r="O73" i="24" l="1"/>
  <c r="O62" i="24"/>
  <c r="O21" i="24" s="1"/>
  <c r="P24" i="24"/>
  <c r="O22" i="24" l="1"/>
  <c r="P61" i="24"/>
  <c r="O23" i="24"/>
  <c r="O13" i="24" s="1"/>
  <c r="P72" i="24"/>
  <c r="P57" i="24" l="1"/>
  <c r="Q36" i="24"/>
  <c r="P59" i="24"/>
  <c r="P68" i="24"/>
  <c r="P70" i="24"/>
  <c r="O33" i="24"/>
  <c r="O12" i="24"/>
  <c r="O40" i="24"/>
  <c r="N20" i="24"/>
  <c r="N41" i="24" s="1"/>
  <c r="O34" i="24"/>
  <c r="K42" i="24" l="1"/>
  <c r="O17" i="24"/>
  <c r="P56" i="24"/>
  <c r="Q25" i="24"/>
  <c r="P67" i="24"/>
  <c r="Q71" i="24" l="1"/>
  <c r="R74" i="24" s="1"/>
  <c r="P66" i="24"/>
  <c r="Q60" i="24"/>
  <c r="R63" i="24" s="1"/>
  <c r="P19" i="24"/>
  <c r="P55" i="24"/>
  <c r="Q24" i="24" l="1"/>
  <c r="P73" i="24"/>
  <c r="P62" i="24"/>
  <c r="P21" i="24" s="1"/>
  <c r="P22" i="24" l="1"/>
  <c r="Q61" i="24"/>
  <c r="P23" i="24"/>
  <c r="P13" i="24" s="1"/>
  <c r="Q72" i="24"/>
  <c r="Q57" i="24" l="1"/>
  <c r="R36" i="24"/>
  <c r="Q59" i="24"/>
  <c r="P12" i="24"/>
  <c r="P33" i="24"/>
  <c r="P40" i="24"/>
  <c r="Q68" i="24"/>
  <c r="Q70" i="24"/>
  <c r="P34" i="24"/>
  <c r="O20" i="24"/>
  <c r="O41" i="24" s="1"/>
  <c r="L42" i="24" l="1"/>
  <c r="P17" i="24"/>
  <c r="Q56" i="24"/>
  <c r="Q67" i="24"/>
  <c r="R25" i="24"/>
  <c r="R60" i="24" l="1"/>
  <c r="S63" i="24" s="1"/>
  <c r="Q19" i="24"/>
  <c r="Q55" i="24"/>
  <c r="R71" i="24"/>
  <c r="S74" i="24" s="1"/>
  <c r="Q66" i="24"/>
  <c r="Q73" i="24" l="1"/>
  <c r="Q62" i="24"/>
  <c r="Q21" i="24" s="1"/>
  <c r="R24" i="24"/>
  <c r="Q22" i="24" l="1"/>
  <c r="R61" i="24"/>
  <c r="Q23" i="24"/>
  <c r="Q13" i="24" s="1"/>
  <c r="R72" i="24"/>
  <c r="R57" i="24" l="1"/>
  <c r="S36" i="24"/>
  <c r="R59" i="24"/>
  <c r="Q34" i="24"/>
  <c r="P20" i="24"/>
  <c r="P41" i="24" s="1"/>
  <c r="R68" i="24"/>
  <c r="R70" i="24"/>
  <c r="Q33" i="24"/>
  <c r="Q12" i="24"/>
  <c r="Q40" i="24"/>
  <c r="M42" i="24" l="1"/>
  <c r="Q17" i="24"/>
  <c r="R67" i="24"/>
  <c r="R56" i="24"/>
  <c r="S25" i="24"/>
  <c r="S60" i="24" l="1"/>
  <c r="T63" i="24" s="1"/>
  <c r="R19" i="24"/>
  <c r="R55" i="24"/>
  <c r="S71" i="24"/>
  <c r="T74" i="24" s="1"/>
  <c r="R66" i="24"/>
  <c r="R62" i="24" l="1"/>
  <c r="R21" i="24" s="1"/>
  <c r="S24" i="24"/>
  <c r="R73" i="24"/>
  <c r="R23" i="24" l="1"/>
  <c r="R13" i="24" s="1"/>
  <c r="S72" i="24"/>
  <c r="R22" i="24"/>
  <c r="S61" i="24"/>
  <c r="S57" i="24" l="1"/>
  <c r="T36" i="24"/>
  <c r="S59" i="24"/>
  <c r="R12" i="24"/>
  <c r="R33" i="24"/>
  <c r="R40" i="24"/>
  <c r="Q20" i="24"/>
  <c r="Q41" i="24" s="1"/>
  <c r="R34" i="24"/>
  <c r="S68" i="24"/>
  <c r="S70" i="24"/>
  <c r="N42" i="24" l="1"/>
  <c r="R17" i="24"/>
  <c r="T25" i="24"/>
  <c r="S56" i="24"/>
  <c r="S67" i="24"/>
  <c r="T71" i="24" l="1"/>
  <c r="U74" i="24" s="1"/>
  <c r="S66" i="24"/>
  <c r="T60" i="24"/>
  <c r="U63" i="24" s="1"/>
  <c r="S19" i="24"/>
  <c r="S55" i="24"/>
  <c r="S62" i="24" l="1"/>
  <c r="S21" i="24" s="1"/>
  <c r="T24" i="24"/>
  <c r="S73" i="24"/>
  <c r="S23" i="24" l="1"/>
  <c r="S13" i="24" s="1"/>
  <c r="T72" i="24"/>
  <c r="S22" i="24"/>
  <c r="T61" i="24"/>
  <c r="R20" i="24" l="1"/>
  <c r="R41" i="24" s="1"/>
  <c r="S34" i="24"/>
  <c r="S33" i="24"/>
  <c r="S12" i="24"/>
  <c r="S40" i="24"/>
  <c r="T57" i="24"/>
  <c r="U36" i="24"/>
  <c r="T59" i="24"/>
  <c r="T68" i="24"/>
  <c r="T70" i="24"/>
  <c r="O42" i="24" l="1"/>
  <c r="S17" i="24"/>
  <c r="U25" i="24"/>
  <c r="T56" i="24"/>
  <c r="T67" i="24"/>
  <c r="U71" i="24" l="1"/>
  <c r="V74" i="24" s="1"/>
  <c r="T66" i="24"/>
  <c r="U60" i="24"/>
  <c r="V63" i="24" s="1"/>
  <c r="T19" i="24"/>
  <c r="T55" i="24"/>
  <c r="U24" i="24" l="1"/>
  <c r="T62" i="24"/>
  <c r="T21" i="24" s="1"/>
  <c r="T73" i="24"/>
  <c r="T22" i="24" l="1"/>
  <c r="U61" i="24"/>
  <c r="T23" i="24"/>
  <c r="T13" i="24" s="1"/>
  <c r="U72" i="24"/>
  <c r="U57" i="24" l="1"/>
  <c r="V36" i="24"/>
  <c r="U59" i="24"/>
  <c r="T33" i="24"/>
  <c r="T12" i="24"/>
  <c r="T40" i="24"/>
  <c r="U68" i="24"/>
  <c r="U70" i="24"/>
  <c r="T34" i="24"/>
  <c r="S20" i="24"/>
  <c r="S41" i="24" s="1"/>
  <c r="P42" i="24" l="1"/>
  <c r="T17" i="24"/>
  <c r="U67" i="24"/>
  <c r="U56" i="24"/>
  <c r="V25" i="24"/>
  <c r="V60" i="24" l="1"/>
  <c r="W63" i="24" s="1"/>
  <c r="U19" i="24"/>
  <c r="U55" i="24"/>
  <c r="V71" i="24"/>
  <c r="W74" i="24" s="1"/>
  <c r="U66" i="24"/>
  <c r="V24" i="24" l="1"/>
  <c r="U73" i="24"/>
  <c r="U62" i="24"/>
  <c r="U21" i="24" s="1"/>
  <c r="U23" i="24" l="1"/>
  <c r="U13" i="24" s="1"/>
  <c r="V72" i="24"/>
  <c r="U22" i="24"/>
  <c r="V61" i="24"/>
  <c r="W36" i="24" l="1"/>
  <c r="V57" i="24"/>
  <c r="V59" i="24"/>
  <c r="T20" i="24"/>
  <c r="T41" i="24" s="1"/>
  <c r="U34" i="24"/>
  <c r="U33" i="24"/>
  <c r="U12" i="24"/>
  <c r="U40" i="24"/>
  <c r="V68" i="24"/>
  <c r="V70" i="24"/>
  <c r="Q42" i="24" l="1"/>
  <c r="U17" i="24"/>
  <c r="V56" i="24"/>
  <c r="V67" i="24"/>
  <c r="W25" i="24"/>
  <c r="W71" i="24" l="1"/>
  <c r="X74" i="24" s="1"/>
  <c r="V66" i="24"/>
  <c r="W60" i="24"/>
  <c r="X63" i="24" s="1"/>
  <c r="V19" i="24"/>
  <c r="V55" i="24"/>
  <c r="V62" i="24" l="1"/>
  <c r="V21" i="24" s="1"/>
  <c r="W24" i="24"/>
  <c r="V73" i="24"/>
  <c r="V23" i="24" l="1"/>
  <c r="V13" i="24" s="1"/>
  <c r="W72" i="24"/>
  <c r="V22" i="24"/>
  <c r="W61" i="24"/>
  <c r="W57" i="24" l="1"/>
  <c r="X36" i="24"/>
  <c r="W59" i="24"/>
  <c r="V33" i="24"/>
  <c r="V12" i="24"/>
  <c r="V40" i="24"/>
  <c r="U20" i="24"/>
  <c r="U41" i="24" s="1"/>
  <c r="V34" i="24"/>
  <c r="W68" i="24"/>
  <c r="W70" i="24"/>
  <c r="R42" i="24" l="1"/>
  <c r="W56" i="24"/>
  <c r="X25" i="24"/>
  <c r="V17" i="24"/>
  <c r="W67" i="24"/>
  <c r="X60" i="24" l="1"/>
  <c r="Y63" i="24" s="1"/>
  <c r="W19" i="24"/>
  <c r="W55" i="24"/>
  <c r="X71" i="24"/>
  <c r="Y74" i="24" s="1"/>
  <c r="W66" i="24"/>
  <c r="W62" i="24" l="1"/>
  <c r="W21" i="24" s="1"/>
  <c r="X24" i="24"/>
  <c r="W73" i="24"/>
  <c r="W23" i="24" l="1"/>
  <c r="W13" i="24" s="1"/>
  <c r="X72" i="24"/>
  <c r="W22" i="24"/>
  <c r="X61" i="24"/>
  <c r="W12" i="24" l="1"/>
  <c r="W33" i="24"/>
  <c r="W40" i="24"/>
  <c r="W34" i="24"/>
  <c r="V20" i="24"/>
  <c r="V41" i="24" s="1"/>
  <c r="X68" i="24"/>
  <c r="X70" i="24"/>
  <c r="X57" i="24"/>
  <c r="Y36" i="24"/>
  <c r="X59" i="24"/>
  <c r="S42" i="24" l="1"/>
  <c r="W17" i="24"/>
  <c r="X67" i="24"/>
  <c r="X56" i="24"/>
  <c r="Y25" i="24"/>
  <c r="Y60" i="24" l="1"/>
  <c r="Z63" i="24" s="1"/>
  <c r="X19" i="24"/>
  <c r="X55" i="24"/>
  <c r="Y71" i="24"/>
  <c r="Z74" i="24" s="1"/>
  <c r="X66" i="24"/>
  <c r="X73" i="24" l="1"/>
  <c r="X62" i="24"/>
  <c r="X21" i="24" s="1"/>
  <c r="Y24" i="24"/>
  <c r="X22" i="24" l="1"/>
  <c r="Y61" i="24"/>
  <c r="X23" i="24"/>
  <c r="X13" i="24" s="1"/>
  <c r="Y72" i="24"/>
  <c r="Y57" i="24" l="1"/>
  <c r="Z36" i="24"/>
  <c r="Y59" i="24"/>
  <c r="Y68" i="24"/>
  <c r="Y70" i="24"/>
  <c r="W20" i="24"/>
  <c r="W41" i="24" s="1"/>
  <c r="X34" i="24"/>
  <c r="X12" i="24"/>
  <c r="X33" i="24"/>
  <c r="X40" i="24"/>
  <c r="T42" i="24" l="1"/>
  <c r="Y67" i="24"/>
  <c r="Y56" i="24"/>
  <c r="Z25" i="24"/>
  <c r="X17" i="24"/>
  <c r="Z60" i="24" l="1"/>
  <c r="AA63" i="24" s="1"/>
  <c r="Y19" i="24"/>
  <c r="Y55" i="24"/>
  <c r="Z71" i="24"/>
  <c r="AA74" i="24" s="1"/>
  <c r="Y66" i="24"/>
  <c r="Z24" i="24" l="1"/>
  <c r="Y73" i="24"/>
  <c r="Y62" i="24"/>
  <c r="Y21" i="24" s="1"/>
  <c r="Y22" i="24" l="1"/>
  <c r="Z61" i="24"/>
  <c r="Y23" i="24"/>
  <c r="Y13" i="24" s="1"/>
  <c r="Z72" i="24"/>
  <c r="Z57" i="24" l="1"/>
  <c r="AA36" i="24"/>
  <c r="Z59" i="24"/>
  <c r="Y12" i="24"/>
  <c r="Y33" i="24"/>
  <c r="Y40" i="24"/>
  <c r="Z68" i="24"/>
  <c r="Z70" i="24"/>
  <c r="X20" i="24"/>
  <c r="X41" i="24" s="1"/>
  <c r="Y34" i="24"/>
  <c r="U42" i="24" l="1"/>
  <c r="Y17" i="24"/>
  <c r="Z67" i="24"/>
  <c r="Z56" i="24"/>
  <c r="AA25" i="24"/>
  <c r="AA60" i="24" l="1"/>
  <c r="AB63" i="24" s="1"/>
  <c r="Z19" i="24"/>
  <c r="Z55" i="24"/>
  <c r="AA71" i="24"/>
  <c r="AB74" i="24" s="1"/>
  <c r="Z66" i="24"/>
  <c r="Z73" i="24" l="1"/>
  <c r="Z62" i="24"/>
  <c r="Z21" i="24" s="1"/>
  <c r="AA24" i="24"/>
  <c r="Z22" i="24" l="1"/>
  <c r="AA61" i="24"/>
  <c r="Z23" i="24"/>
  <c r="Z13" i="24" s="1"/>
  <c r="AA72" i="24"/>
  <c r="AA57" i="24" l="1"/>
  <c r="AB36" i="24"/>
  <c r="AA59" i="24"/>
  <c r="Z12" i="24"/>
  <c r="Z33" i="24"/>
  <c r="Z40" i="24"/>
  <c r="AA68" i="24"/>
  <c r="AA70" i="24"/>
  <c r="Z34" i="24"/>
  <c r="Y20" i="24"/>
  <c r="Y41" i="24" s="1"/>
  <c r="V42" i="24" l="1"/>
  <c r="Z17" i="24"/>
  <c r="AA56" i="24"/>
  <c r="AA67" i="24"/>
  <c r="AB25" i="24"/>
  <c r="AB60" i="24" l="1"/>
  <c r="AC63" i="24" s="1"/>
  <c r="AA19" i="24"/>
  <c r="AA55" i="24"/>
  <c r="AB71" i="24"/>
  <c r="AC74" i="24" s="1"/>
  <c r="AA66" i="24"/>
  <c r="AA73" i="24" l="1"/>
  <c r="AA62" i="24"/>
  <c r="AA21" i="24" s="1"/>
  <c r="AB24" i="24"/>
  <c r="AA22" i="24" l="1"/>
  <c r="AB61" i="24"/>
  <c r="AA23" i="24"/>
  <c r="AA13" i="24" s="1"/>
  <c r="AB72" i="24"/>
  <c r="AB57" i="24" l="1"/>
  <c r="AC36" i="24"/>
  <c r="AB59" i="24"/>
  <c r="Z20" i="24"/>
  <c r="Z41" i="24" s="1"/>
  <c r="AA34" i="24"/>
  <c r="AB68" i="24"/>
  <c r="AB70" i="24"/>
  <c r="AA12" i="24"/>
  <c r="AA33" i="24"/>
  <c r="AA40" i="24"/>
  <c r="W42" i="24" l="1"/>
  <c r="AB56" i="24"/>
  <c r="AC25" i="24"/>
  <c r="AB67" i="24"/>
  <c r="AA17" i="24"/>
  <c r="AC71" i="24" l="1"/>
  <c r="AD74" i="24" s="1"/>
  <c r="AB66" i="24"/>
  <c r="AC60" i="24"/>
  <c r="AD63" i="24" s="1"/>
  <c r="AB19" i="24"/>
  <c r="AB55" i="24"/>
  <c r="AB62" i="24" l="1"/>
  <c r="AB21" i="24" s="1"/>
  <c r="AC24" i="24"/>
  <c r="AB73" i="24"/>
  <c r="AB23" i="24" l="1"/>
  <c r="AB13" i="24" s="1"/>
  <c r="AC72" i="24"/>
  <c r="AB22" i="24"/>
  <c r="AC61" i="24"/>
  <c r="AB33" i="24" l="1"/>
  <c r="AB12" i="24"/>
  <c r="AB40" i="24"/>
  <c r="AB34" i="24"/>
  <c r="AA20" i="24"/>
  <c r="AA41" i="24" s="1"/>
  <c r="AC68" i="24"/>
  <c r="AC70" i="24"/>
  <c r="AC57" i="24"/>
  <c r="AD36" i="24"/>
  <c r="AC59" i="24"/>
  <c r="X42" i="24" l="1"/>
  <c r="AC67" i="24"/>
  <c r="AC56" i="24"/>
  <c r="AD25" i="24"/>
  <c r="AB17" i="24"/>
  <c r="AD71" i="24" l="1"/>
  <c r="AE74" i="24" s="1"/>
  <c r="AC66" i="24"/>
  <c r="AD60" i="24"/>
  <c r="AE63" i="24" s="1"/>
  <c r="AC19" i="24"/>
  <c r="AC55" i="24"/>
  <c r="AC62" i="24" l="1"/>
  <c r="AC21" i="24" s="1"/>
  <c r="AC73" i="24"/>
  <c r="AD24" i="24"/>
  <c r="AC22" i="24" l="1"/>
  <c r="AD61" i="24"/>
  <c r="AC23" i="24"/>
  <c r="AC13" i="24" s="1"/>
  <c r="AD72" i="24"/>
  <c r="AC12" i="24" l="1"/>
  <c r="AC33" i="24"/>
  <c r="AC40" i="24"/>
  <c r="AD68" i="24"/>
  <c r="AD70" i="24"/>
  <c r="AB20" i="24"/>
  <c r="AB41" i="24" s="1"/>
  <c r="AC34" i="24"/>
  <c r="AD57" i="24"/>
  <c r="AE36" i="24"/>
  <c r="AD59" i="24"/>
  <c r="Y42" i="24" l="1"/>
  <c r="AD67" i="24"/>
  <c r="AC17" i="24"/>
  <c r="AD56" i="24"/>
  <c r="AE25" i="24"/>
  <c r="AE71" i="24" l="1"/>
  <c r="AF74" i="24" s="1"/>
  <c r="AD66" i="24"/>
  <c r="AE60" i="24"/>
  <c r="AF63" i="24" s="1"/>
  <c r="AD19" i="24"/>
  <c r="AD55" i="24"/>
  <c r="AE24" i="24" l="1"/>
  <c r="AD62" i="24"/>
  <c r="AD21" i="24" s="1"/>
  <c r="AD73" i="24"/>
  <c r="AD23" i="24" l="1"/>
  <c r="AD13" i="24" s="1"/>
  <c r="AE72" i="24"/>
  <c r="AD22" i="24"/>
  <c r="AE61" i="24"/>
  <c r="AE57" i="24" l="1"/>
  <c r="AF36" i="24"/>
  <c r="AE59" i="24"/>
  <c r="AC20" i="24"/>
  <c r="AC41" i="24" s="1"/>
  <c r="AD34" i="24"/>
  <c r="AD33" i="24"/>
  <c r="AD12" i="24"/>
  <c r="AD40" i="24"/>
  <c r="AE68" i="24"/>
  <c r="AE70" i="24"/>
  <c r="Z42" i="24" l="1"/>
  <c r="AD17" i="24"/>
  <c r="AE56" i="24"/>
  <c r="AF25" i="24"/>
  <c r="AE67" i="24"/>
  <c r="AF60" i="24" l="1"/>
  <c r="AG63" i="24" s="1"/>
  <c r="AE19" i="24"/>
  <c r="AE55" i="24"/>
  <c r="AF71" i="24"/>
  <c r="AG74" i="24" s="1"/>
  <c r="AE66" i="24"/>
  <c r="AE73" i="24" l="1"/>
  <c r="AE62" i="24"/>
  <c r="AE21" i="24" s="1"/>
  <c r="AF24" i="24"/>
  <c r="AE22" i="24" l="1"/>
  <c r="AF61" i="24"/>
  <c r="AE23" i="24"/>
  <c r="AE13" i="24" s="1"/>
  <c r="AF72" i="24"/>
  <c r="AF57" i="24" l="1"/>
  <c r="AG36" i="24"/>
  <c r="AF59" i="24"/>
  <c r="AF68" i="24"/>
  <c r="AF70" i="24"/>
  <c r="AE33" i="24"/>
  <c r="AE12" i="24"/>
  <c r="AE40" i="24"/>
  <c r="AD20" i="24"/>
  <c r="AD41" i="24" s="1"/>
  <c r="AE34" i="24"/>
  <c r="AA42" i="24" l="1"/>
  <c r="AE17" i="24"/>
  <c r="AF56" i="24"/>
  <c r="AF67" i="24"/>
  <c r="AG25" i="24"/>
  <c r="AF19" i="24" l="1"/>
  <c r="AG60" i="24"/>
  <c r="AH63" i="24" s="1"/>
  <c r="AF55" i="24"/>
  <c r="AG71" i="24"/>
  <c r="AH74" i="24" s="1"/>
  <c r="AF66" i="24"/>
  <c r="AF73" i="24" l="1"/>
  <c r="AF62" i="24"/>
  <c r="AF21" i="24" s="1"/>
  <c r="AG24" i="24"/>
  <c r="AF22" i="24" l="1"/>
  <c r="AG61" i="24"/>
  <c r="AF23" i="24"/>
  <c r="AF13" i="24" s="1"/>
  <c r="AG72" i="24"/>
  <c r="AG57" i="24" l="1"/>
  <c r="AH36" i="24"/>
  <c r="AG59" i="24"/>
  <c r="AG68" i="24"/>
  <c r="AG70" i="24"/>
  <c r="AF34" i="24"/>
  <c r="AE20" i="24"/>
  <c r="AE41" i="24" s="1"/>
  <c r="AF12" i="24"/>
  <c r="AF33" i="24"/>
  <c r="AF40" i="24"/>
  <c r="AB42" i="24" l="1"/>
  <c r="AG67" i="24"/>
  <c r="AG56" i="24"/>
  <c r="AH25" i="24"/>
  <c r="AF17" i="24"/>
  <c r="AH60" i="24" l="1"/>
  <c r="AI63" i="24" s="1"/>
  <c r="AG19" i="24"/>
  <c r="AG55" i="24"/>
  <c r="AH71" i="24"/>
  <c r="AI74" i="24" s="1"/>
  <c r="AG66" i="24"/>
  <c r="AH24" i="24" l="1"/>
  <c r="AG73" i="24"/>
  <c r="AG62" i="24"/>
  <c r="AG21" i="24" s="1"/>
  <c r="AG22" i="24" l="1"/>
  <c r="AH61" i="24"/>
  <c r="AG23" i="24"/>
  <c r="AG13" i="24" s="1"/>
  <c r="AH72" i="24"/>
  <c r="AH57" i="24" l="1"/>
  <c r="AI36" i="24"/>
  <c r="AH59" i="24"/>
  <c r="AH68" i="24"/>
  <c r="AH70" i="24"/>
  <c r="AG34" i="24"/>
  <c r="AF20" i="24"/>
  <c r="AF41" i="24" s="1"/>
  <c r="AG33" i="24"/>
  <c r="AG12" i="24"/>
  <c r="AG40" i="24"/>
  <c r="AC42" i="24" l="1"/>
  <c r="AG17" i="24"/>
  <c r="AH67" i="24"/>
  <c r="AH56" i="24"/>
  <c r="AI25" i="24"/>
  <c r="AI60" i="24" l="1"/>
  <c r="AJ63" i="24" s="1"/>
  <c r="AH19" i="24"/>
  <c r="AH55" i="24"/>
  <c r="AI71" i="24"/>
  <c r="AJ74" i="24" s="1"/>
  <c r="AH66" i="24"/>
  <c r="AI24" i="24" l="1"/>
  <c r="AH73" i="24"/>
  <c r="AH62" i="24"/>
  <c r="AH21" i="24" s="1"/>
  <c r="AH23" i="24" l="1"/>
  <c r="AH13" i="24" s="1"/>
  <c r="AI72" i="24"/>
  <c r="AH22" i="24"/>
  <c r="AI61" i="24"/>
  <c r="AH12" i="24" l="1"/>
  <c r="AH33" i="24"/>
  <c r="AH40" i="24"/>
  <c r="AI57" i="24"/>
  <c r="AJ36" i="24"/>
  <c r="AI59" i="24"/>
  <c r="AH34" i="24"/>
  <c r="AG20" i="24"/>
  <c r="AG41" i="24" s="1"/>
  <c r="AI68" i="24"/>
  <c r="AI70" i="24"/>
  <c r="AD42" i="24" l="1"/>
  <c r="AI56" i="24"/>
  <c r="AH17" i="24"/>
  <c r="AJ25" i="24"/>
  <c r="AI67" i="24"/>
  <c r="AJ71" i="24" l="1"/>
  <c r="AK74" i="24" s="1"/>
  <c r="AI66" i="24"/>
  <c r="AJ60" i="24"/>
  <c r="AK63" i="24" s="1"/>
  <c r="AI19" i="24"/>
  <c r="AI55" i="24"/>
  <c r="AJ24" i="24" l="1"/>
  <c r="AI62" i="24"/>
  <c r="AI21" i="24" s="1"/>
  <c r="AI73" i="24"/>
  <c r="AI22" i="24" l="1"/>
  <c r="AJ61" i="24"/>
  <c r="AI23" i="24"/>
  <c r="AI13" i="24" s="1"/>
  <c r="AJ72" i="24"/>
  <c r="AK36" i="24" l="1"/>
  <c r="AJ57" i="24"/>
  <c r="AJ59" i="24"/>
  <c r="AJ68" i="24"/>
  <c r="AJ70" i="24"/>
  <c r="AI12" i="24"/>
  <c r="AI33" i="24"/>
  <c r="AI40" i="24"/>
  <c r="AI34" i="24"/>
  <c r="AH20" i="24"/>
  <c r="AH41" i="24" s="1"/>
  <c r="AE42" i="24" l="1"/>
  <c r="AI17" i="24"/>
  <c r="AJ67" i="24"/>
  <c r="AJ56" i="24"/>
  <c r="AK25" i="24"/>
  <c r="AK71" i="24" l="1"/>
  <c r="AL74" i="24" s="1"/>
  <c r="AJ66" i="24"/>
  <c r="AK60" i="24"/>
  <c r="AL63" i="24" s="1"/>
  <c r="AJ19" i="24"/>
  <c r="AJ55" i="24"/>
  <c r="AJ62" i="24" l="1"/>
  <c r="AJ21" i="24" s="1"/>
  <c r="AJ73" i="24"/>
  <c r="AK24" i="24"/>
  <c r="AJ23" i="24" l="1"/>
  <c r="AJ13" i="24" s="1"/>
  <c r="AK72" i="24"/>
  <c r="AJ22" i="24"/>
  <c r="AK61" i="24"/>
  <c r="AK57" i="24" l="1"/>
  <c r="AL36" i="24"/>
  <c r="AK59" i="24"/>
  <c r="AJ33" i="24"/>
  <c r="AJ12" i="24"/>
  <c r="AJ40" i="24"/>
  <c r="AJ34" i="24"/>
  <c r="AI20" i="24"/>
  <c r="AI41" i="24" s="1"/>
  <c r="AK68" i="24"/>
  <c r="AK70" i="24"/>
  <c r="AF42" i="24" l="1"/>
  <c r="AK56" i="24"/>
  <c r="AL25" i="24"/>
  <c r="AJ17" i="24"/>
  <c r="AK67" i="24"/>
  <c r="AL71" i="24" l="1"/>
  <c r="AM74" i="24" s="1"/>
  <c r="AK66" i="24"/>
  <c r="AL60" i="24"/>
  <c r="AM63" i="24" s="1"/>
  <c r="AK19" i="24"/>
  <c r="AK55" i="24"/>
  <c r="AK62" i="24" l="1"/>
  <c r="AK21" i="24" s="1"/>
  <c r="AL24" i="24"/>
  <c r="AK73" i="24"/>
  <c r="AK23" i="24" l="1"/>
  <c r="AK13" i="24" s="1"/>
  <c r="AL72" i="24"/>
  <c r="AK22" i="24"/>
  <c r="AL61" i="24"/>
  <c r="AL57" i="24" l="1"/>
  <c r="AM36" i="24"/>
  <c r="AL59" i="24"/>
  <c r="AK33" i="24"/>
  <c r="AK12" i="24"/>
  <c r="AK40" i="24"/>
  <c r="AJ20" i="24"/>
  <c r="AJ41" i="24" s="1"/>
  <c r="AK34" i="24"/>
  <c r="AL68" i="24"/>
  <c r="AL70" i="24"/>
  <c r="AG42" i="24" l="1"/>
  <c r="AL56" i="24"/>
  <c r="AM25" i="24"/>
  <c r="AK17" i="24"/>
  <c r="AL67" i="24"/>
  <c r="AM71" i="24" l="1"/>
  <c r="AN74" i="24" s="1"/>
  <c r="AL66" i="24"/>
  <c r="AM60" i="24"/>
  <c r="AN63" i="24" s="1"/>
  <c r="AL19" i="24"/>
  <c r="AL55" i="24"/>
  <c r="AL62" i="24" l="1"/>
  <c r="AL21" i="24" s="1"/>
  <c r="AM24" i="24"/>
  <c r="AL73" i="24"/>
  <c r="AL23" i="24" l="1"/>
  <c r="AL13" i="24" s="1"/>
  <c r="AM72" i="24"/>
  <c r="AL22" i="24"/>
  <c r="AM61" i="24"/>
  <c r="AM57" i="24" l="1"/>
  <c r="AN36" i="24"/>
  <c r="AM59" i="24"/>
  <c r="AK20" i="24"/>
  <c r="AK41" i="24" s="1"/>
  <c r="AL34" i="24"/>
  <c r="AL12" i="24"/>
  <c r="AL33" i="24"/>
  <c r="AL40" i="24"/>
  <c r="AM68" i="24"/>
  <c r="AM70" i="24"/>
  <c r="AH42" i="24" l="1"/>
  <c r="AL17" i="24"/>
  <c r="AM56" i="24"/>
  <c r="AN25" i="24"/>
  <c r="AM67" i="24"/>
  <c r="AN60" i="24" l="1"/>
  <c r="AO63" i="24" s="1"/>
  <c r="AM19" i="24"/>
  <c r="AM55" i="24"/>
  <c r="AN71" i="24"/>
  <c r="AO74" i="24" s="1"/>
  <c r="AM66" i="24"/>
  <c r="AM73" i="24" l="1"/>
  <c r="AM62" i="24"/>
  <c r="AM21" i="24" s="1"/>
  <c r="AN24" i="24"/>
  <c r="AM22" i="24" l="1"/>
  <c r="AN61" i="24"/>
  <c r="AM23" i="24"/>
  <c r="AM13" i="24" s="1"/>
  <c r="AN72" i="24"/>
  <c r="AN57" i="24" l="1"/>
  <c r="AO36" i="24"/>
  <c r="AN59" i="24"/>
  <c r="AN68" i="24"/>
  <c r="AN70" i="24"/>
  <c r="AL20" i="24"/>
  <c r="AL41" i="24" s="1"/>
  <c r="AM34" i="24"/>
  <c r="AM33" i="24"/>
  <c r="AM12" i="24"/>
  <c r="AM40" i="24"/>
  <c r="AI42" i="24" l="1"/>
  <c r="AM17" i="24"/>
  <c r="AN67" i="24"/>
  <c r="AN56" i="24"/>
  <c r="AO25" i="24"/>
  <c r="AO60" i="24" l="1"/>
  <c r="AP63" i="24" s="1"/>
  <c r="AN19" i="24"/>
  <c r="AN55" i="24"/>
  <c r="AO71" i="24"/>
  <c r="AP74" i="24" s="1"/>
  <c r="AN66" i="24"/>
  <c r="AO24" i="24" l="1"/>
  <c r="AN73" i="24"/>
  <c r="AN62" i="24"/>
  <c r="AN21" i="24" s="1"/>
  <c r="AN22" i="24" l="1"/>
  <c r="AO61" i="24"/>
  <c r="AN23" i="24"/>
  <c r="AN13" i="24" s="1"/>
  <c r="AO72" i="24"/>
  <c r="AO57" i="24" l="1"/>
  <c r="AP36" i="24"/>
  <c r="AO59" i="24"/>
  <c r="AN34" i="24"/>
  <c r="AM20" i="24"/>
  <c r="AM41" i="24" s="1"/>
  <c r="AO68" i="24"/>
  <c r="AO70" i="24"/>
  <c r="AN12" i="24"/>
  <c r="AN33" i="24"/>
  <c r="AN40" i="24"/>
  <c r="AJ42" i="24" l="1"/>
  <c r="AO56" i="24"/>
  <c r="AP25" i="24"/>
  <c r="AO67" i="24"/>
  <c r="AN17" i="24"/>
  <c r="AP71" i="24" l="1"/>
  <c r="AQ74" i="24" s="1"/>
  <c r="AO66" i="24"/>
  <c r="AP60" i="24"/>
  <c r="AQ63" i="24" s="1"/>
  <c r="AO19" i="24"/>
  <c r="AO55" i="24"/>
  <c r="AP24" i="24" l="1"/>
  <c r="AO73" i="24"/>
  <c r="AO62" i="24"/>
  <c r="AO21" i="24" s="1"/>
  <c r="AO22" i="24" l="1"/>
  <c r="AP61" i="24"/>
  <c r="AO23" i="24"/>
  <c r="AO13" i="24" s="1"/>
  <c r="AP72" i="24"/>
  <c r="AP57" i="24" l="1"/>
  <c r="AQ36" i="24"/>
  <c r="AP59" i="24"/>
  <c r="AN20" i="24"/>
  <c r="AN41" i="24" s="1"/>
  <c r="AO34" i="24"/>
  <c r="AP68" i="24"/>
  <c r="AP70" i="24"/>
  <c r="AO33" i="24"/>
  <c r="AO12" i="24"/>
  <c r="AO40" i="24"/>
  <c r="AK42" i="24" l="1"/>
  <c r="AO17" i="24"/>
  <c r="AP67" i="24"/>
  <c r="AP56" i="24"/>
  <c r="AQ25" i="24"/>
  <c r="AQ60" i="24" l="1"/>
  <c r="AR63" i="24" s="1"/>
  <c r="AP19" i="24"/>
  <c r="AP55" i="24"/>
  <c r="AQ71" i="24"/>
  <c r="AR74" i="24" s="1"/>
  <c r="AP66" i="24"/>
  <c r="AP73" i="24" l="1"/>
  <c r="AP62" i="24"/>
  <c r="AP21" i="24" s="1"/>
  <c r="AQ24" i="24"/>
  <c r="AP22" i="24" l="1"/>
  <c r="AQ61" i="24"/>
  <c r="AP23" i="24"/>
  <c r="AP13" i="24" s="1"/>
  <c r="AQ72" i="24"/>
  <c r="AQ57" i="24" l="1"/>
  <c r="AR36" i="24"/>
  <c r="AQ59" i="24"/>
  <c r="AQ68" i="24"/>
  <c r="AQ70" i="24"/>
  <c r="AP34" i="24"/>
  <c r="AO20" i="24"/>
  <c r="AO41" i="24" s="1"/>
  <c r="AP12" i="24"/>
  <c r="AP33" i="24"/>
  <c r="AP40" i="24"/>
  <c r="AL42" i="24" l="1"/>
  <c r="AQ56" i="24"/>
  <c r="AQ67" i="24"/>
  <c r="AR25" i="24"/>
  <c r="AP17" i="24"/>
  <c r="AR71" i="24" l="1"/>
  <c r="AS74" i="24" s="1"/>
  <c r="AQ66" i="24"/>
  <c r="AR60" i="24"/>
  <c r="AS63" i="24" s="1"/>
  <c r="AQ19" i="24"/>
  <c r="AQ55" i="24"/>
  <c r="AQ62" i="24" l="1"/>
  <c r="AQ21" i="24" s="1"/>
  <c r="AR24" i="24"/>
  <c r="AQ73" i="24"/>
  <c r="AQ23" i="24" l="1"/>
  <c r="AQ13" i="24" s="1"/>
  <c r="AR72" i="24"/>
  <c r="AQ22" i="24"/>
  <c r="AR61" i="24"/>
  <c r="AR57" i="24" l="1"/>
  <c r="AS36" i="24"/>
  <c r="AR59" i="24"/>
  <c r="AQ34" i="24"/>
  <c r="AP20" i="24"/>
  <c r="AP41" i="24" s="1"/>
  <c r="AQ33" i="24"/>
  <c r="AQ12" i="24"/>
  <c r="AQ40" i="24"/>
  <c r="AR68" i="24"/>
  <c r="AR70" i="24"/>
  <c r="AM42" i="24" l="1"/>
  <c r="AQ17" i="24"/>
  <c r="AR56" i="24"/>
  <c r="AS25" i="24"/>
  <c r="AR67" i="24"/>
  <c r="AS71" i="24" l="1"/>
  <c r="AT74" i="24" s="1"/>
  <c r="AR66" i="24"/>
  <c r="AS60" i="24"/>
  <c r="AT63" i="24" s="1"/>
  <c r="AR19" i="24"/>
  <c r="AR55" i="24"/>
  <c r="AR62" i="24" l="1"/>
  <c r="AR21" i="24" s="1"/>
  <c r="AS24" i="24"/>
  <c r="AR73" i="24"/>
  <c r="AR23" i="24" l="1"/>
  <c r="AR13" i="24" s="1"/>
  <c r="AS72" i="24"/>
  <c r="AR22" i="24"/>
  <c r="AS61" i="24"/>
  <c r="AT36" i="24" l="1"/>
  <c r="AS57" i="24"/>
  <c r="AS59" i="24"/>
  <c r="AR34" i="24"/>
  <c r="AQ20" i="24"/>
  <c r="AQ41" i="24" s="1"/>
  <c r="AR12" i="24"/>
  <c r="AR33" i="24"/>
  <c r="AR40" i="24"/>
  <c r="AS68" i="24"/>
  <c r="AS70" i="24"/>
  <c r="AN42" i="24" l="1"/>
  <c r="AR17" i="24"/>
  <c r="AS56" i="24"/>
  <c r="AS67" i="24"/>
  <c r="AT25" i="24"/>
  <c r="AT71" i="24" l="1"/>
  <c r="AU74" i="24" s="1"/>
  <c r="AS66" i="24"/>
  <c r="AT60" i="24"/>
  <c r="AU63" i="24" s="1"/>
  <c r="AS19" i="24"/>
  <c r="AS55" i="24"/>
  <c r="AT24" i="24" l="1"/>
  <c r="AS73" i="24"/>
  <c r="AS62" i="24"/>
  <c r="AS21" i="24" s="1"/>
  <c r="AS23" i="24" l="1"/>
  <c r="AS13" i="24" s="1"/>
  <c r="AT72" i="24"/>
  <c r="AS22" i="24"/>
  <c r="AT61" i="24"/>
  <c r="AT57" i="24" l="1"/>
  <c r="AU36" i="24"/>
  <c r="AT59" i="24"/>
  <c r="AS33" i="24"/>
  <c r="AS12" i="24"/>
  <c r="AS40" i="24"/>
  <c r="AR20" i="24"/>
  <c r="AR41" i="24" s="1"/>
  <c r="AS34" i="24"/>
  <c r="AT68" i="24"/>
  <c r="AT70" i="24"/>
  <c r="AO42" i="24" l="1"/>
  <c r="AT56" i="24"/>
  <c r="AU25" i="24"/>
  <c r="AS17" i="24"/>
  <c r="AT67" i="24"/>
  <c r="AU71" i="24" l="1"/>
  <c r="AV74" i="24" s="1"/>
  <c r="AT66" i="24"/>
  <c r="AU60" i="24"/>
  <c r="AV63" i="24" s="1"/>
  <c r="AT19" i="24"/>
  <c r="AT55" i="24"/>
  <c r="AT62" i="24" l="1"/>
  <c r="AT21" i="24" s="1"/>
  <c r="AU24" i="24"/>
  <c r="AT73" i="24"/>
  <c r="AT23" i="24" l="1"/>
  <c r="AT13" i="24" s="1"/>
  <c r="AU72" i="24"/>
  <c r="AT22" i="24"/>
  <c r="AU61" i="24"/>
  <c r="AT12" i="24" l="1"/>
  <c r="AT33" i="24"/>
  <c r="AT40" i="24"/>
  <c r="AU68" i="24"/>
  <c r="AU70" i="24"/>
  <c r="AV36" i="24"/>
  <c r="AU57" i="24"/>
  <c r="AU59" i="24"/>
  <c r="AT34" i="24"/>
  <c r="AS20" i="24"/>
  <c r="AS41" i="24" s="1"/>
  <c r="AP42" i="24" l="1"/>
  <c r="AT17" i="24"/>
  <c r="AU56" i="24"/>
  <c r="AU67" i="24"/>
  <c r="AV25" i="24"/>
  <c r="AV71" i="24" l="1"/>
  <c r="AW74" i="24" s="1"/>
  <c r="AU66" i="24"/>
  <c r="AV60" i="24"/>
  <c r="AW63" i="24" s="1"/>
  <c r="AU19" i="24"/>
  <c r="AU55" i="24"/>
  <c r="AU62" i="24" l="1"/>
  <c r="AU21" i="24" s="1"/>
  <c r="AV24" i="24"/>
  <c r="AU73" i="24"/>
  <c r="AU23" i="24" l="1"/>
  <c r="AU13" i="24" s="1"/>
  <c r="AV72" i="24"/>
  <c r="AU22" i="24"/>
  <c r="AV61" i="24"/>
  <c r="AV57" i="24" l="1"/>
  <c r="AW36" i="24"/>
  <c r="AV59" i="24"/>
  <c r="AT20" i="24"/>
  <c r="AT41" i="24" s="1"/>
  <c r="AU34" i="24"/>
  <c r="AU33" i="24"/>
  <c r="AU12" i="24"/>
  <c r="AU40" i="24"/>
  <c r="AV68" i="24"/>
  <c r="AV70" i="24"/>
  <c r="AQ42" i="24" l="1"/>
  <c r="AU17" i="24"/>
  <c r="AW25" i="24"/>
  <c r="AV56" i="24"/>
  <c r="AV67" i="24"/>
  <c r="AW60" i="24" l="1"/>
  <c r="AX63" i="24" s="1"/>
  <c r="AV19" i="24"/>
  <c r="AV55" i="24"/>
  <c r="AW71" i="24"/>
  <c r="AX74" i="24" s="1"/>
  <c r="AV66" i="24"/>
  <c r="AV62" i="24" l="1"/>
  <c r="AV21" i="24" s="1"/>
  <c r="AW24" i="24"/>
  <c r="AV73" i="24"/>
  <c r="AV23" i="24" l="1"/>
  <c r="AV13" i="24" s="1"/>
  <c r="AW72" i="24"/>
  <c r="AV22" i="24"/>
  <c r="AW61" i="24"/>
  <c r="AW57" i="24" l="1"/>
  <c r="AX36" i="24"/>
  <c r="AW59" i="24"/>
  <c r="AU20" i="24"/>
  <c r="AU41" i="24" s="1"/>
  <c r="AV34" i="24"/>
  <c r="AV33" i="24"/>
  <c r="AV12" i="24"/>
  <c r="AV40" i="24"/>
  <c r="AW68" i="24"/>
  <c r="AW70" i="24"/>
  <c r="AR42" i="24" l="1"/>
  <c r="AV17" i="24"/>
  <c r="AW56" i="24"/>
  <c r="AX25" i="24"/>
  <c r="AW67" i="24"/>
  <c r="AX60" i="24" l="1"/>
  <c r="AY63" i="24" s="1"/>
  <c r="AW19" i="24"/>
  <c r="AW55" i="24"/>
  <c r="AX71" i="24"/>
  <c r="AY74" i="24" s="1"/>
  <c r="AW66" i="24"/>
  <c r="AW73" i="24" l="1"/>
  <c r="AW62" i="24"/>
  <c r="AW21" i="24" s="1"/>
  <c r="AX24" i="24"/>
  <c r="AW22" i="24" l="1"/>
  <c r="AX61" i="24"/>
  <c r="AW23" i="24"/>
  <c r="AW13" i="24" s="1"/>
  <c r="AX72" i="24"/>
  <c r="AX57" i="24" l="1"/>
  <c r="AY36" i="24"/>
  <c r="AX59" i="24"/>
  <c r="AX68" i="24"/>
  <c r="AX70" i="24"/>
  <c r="AW12" i="24"/>
  <c r="AW33" i="24"/>
  <c r="AW40" i="24"/>
  <c r="AW34" i="24"/>
  <c r="AV20" i="24"/>
  <c r="AV41" i="24" s="1"/>
  <c r="AS42" i="24" l="1"/>
  <c r="AW17" i="24"/>
  <c r="AX67" i="24"/>
  <c r="AX56" i="24"/>
  <c r="AY25" i="24"/>
  <c r="AY71" i="24" l="1"/>
  <c r="AZ74" i="24" s="1"/>
  <c r="AX66" i="24"/>
  <c r="AY60" i="24"/>
  <c r="AZ63" i="24" s="1"/>
  <c r="AX19" i="24"/>
  <c r="AX55" i="24"/>
  <c r="AY24" i="24" l="1"/>
  <c r="AX62" i="24"/>
  <c r="AX21" i="24" s="1"/>
  <c r="AX73" i="24"/>
  <c r="AX22" i="24" l="1"/>
  <c r="AY61" i="24"/>
  <c r="AX23" i="24"/>
  <c r="AX13" i="24" s="1"/>
  <c r="AY72" i="24"/>
  <c r="AY57" i="24" l="1"/>
  <c r="AZ36" i="24"/>
  <c r="AY59" i="24"/>
  <c r="AX33" i="24"/>
  <c r="AX12" i="24"/>
  <c r="AX40" i="24"/>
  <c r="AY68" i="24"/>
  <c r="AY70" i="24"/>
  <c r="AW20" i="24"/>
  <c r="AW41" i="24" s="1"/>
  <c r="AX34" i="24"/>
  <c r="AT42" i="24" l="1"/>
  <c r="AX17" i="24"/>
  <c r="AY56" i="24"/>
  <c r="AZ25" i="24"/>
  <c r="AY67" i="24"/>
  <c r="AZ71" i="24" l="1"/>
  <c r="BA74" i="24" s="1"/>
  <c r="AY66" i="24"/>
  <c r="AZ60" i="24"/>
  <c r="BA63" i="24" s="1"/>
  <c r="AY19" i="24"/>
  <c r="AY55" i="24"/>
  <c r="AY62" i="24" l="1"/>
  <c r="AY21" i="24" s="1"/>
  <c r="AZ24" i="24"/>
  <c r="AY73" i="24"/>
  <c r="AY23" i="24" l="1"/>
  <c r="AY13" i="24" s="1"/>
  <c r="AZ72" i="24"/>
  <c r="AY22" i="24"/>
  <c r="AZ61" i="24"/>
  <c r="AY12" i="24" l="1"/>
  <c r="AY33" i="24"/>
  <c r="AY40" i="24"/>
  <c r="BA36" i="24"/>
  <c r="AZ57" i="24"/>
  <c r="AZ59" i="24"/>
  <c r="AZ68" i="24"/>
  <c r="AZ70" i="24"/>
  <c r="AX20" i="24"/>
  <c r="AX41" i="24" s="1"/>
  <c r="AY34" i="24"/>
  <c r="AU42" i="24" l="1"/>
  <c r="AY17" i="24"/>
  <c r="BA25" i="24"/>
  <c r="AZ67" i="24"/>
  <c r="AZ56" i="24"/>
  <c r="BA60" i="24" l="1"/>
  <c r="BB63" i="24" s="1"/>
  <c r="AZ19" i="24"/>
  <c r="AZ55" i="24"/>
  <c r="BA71" i="24"/>
  <c r="BB74" i="24" s="1"/>
  <c r="AZ66" i="24"/>
  <c r="AZ62" i="24" l="1"/>
  <c r="AZ21" i="24" s="1"/>
  <c r="AZ73" i="24"/>
  <c r="BA24" i="24"/>
  <c r="AZ23" i="24" l="1"/>
  <c r="AZ13" i="24" s="1"/>
  <c r="BA72" i="24"/>
  <c r="AZ22" i="24"/>
  <c r="BA61" i="24"/>
  <c r="AZ12" i="24" l="1"/>
  <c r="AZ33" i="24"/>
  <c r="AZ40" i="24"/>
  <c r="AZ34" i="24"/>
  <c r="AY20" i="24"/>
  <c r="AY41" i="24" s="1"/>
  <c r="BA68" i="24"/>
  <c r="BA70" i="24"/>
  <c r="BA57" i="24"/>
  <c r="BB36" i="24"/>
  <c r="BA59" i="24"/>
  <c r="AV42" i="24" l="1"/>
  <c r="AZ17" i="24"/>
  <c r="BA67" i="24"/>
  <c r="BA56" i="24"/>
  <c r="BB25" i="24"/>
  <c r="BB60" i="24" l="1"/>
  <c r="BC63" i="24" s="1"/>
  <c r="BA19" i="24"/>
  <c r="BA55" i="24"/>
  <c r="BB71" i="24"/>
  <c r="BC74" i="24" s="1"/>
  <c r="BA66" i="24"/>
  <c r="BA62" i="24" l="1"/>
  <c r="BA21" i="24" s="1"/>
  <c r="BB24" i="24"/>
  <c r="BA73" i="24"/>
  <c r="BA23" i="24" l="1"/>
  <c r="BA13" i="24" s="1"/>
  <c r="BB72" i="24"/>
  <c r="BA22" i="24"/>
  <c r="BB61" i="24"/>
  <c r="BB57" i="24" l="1"/>
  <c r="BC36" i="24"/>
  <c r="BB59" i="24"/>
  <c r="AZ20" i="24"/>
  <c r="AZ41" i="24" s="1"/>
  <c r="BA34" i="24"/>
  <c r="BA33" i="24"/>
  <c r="BA12" i="24"/>
  <c r="BA40" i="24"/>
  <c r="BB68" i="24"/>
  <c r="BB70" i="24"/>
  <c r="AW42" i="24" l="1"/>
  <c r="BA17" i="24"/>
  <c r="BB56" i="24"/>
  <c r="BC25" i="24"/>
  <c r="BB67" i="24"/>
  <c r="BC60" i="24" l="1"/>
  <c r="BD63" i="24" s="1"/>
  <c r="BB19" i="24"/>
  <c r="BB55" i="24"/>
  <c r="BC71" i="24"/>
  <c r="BD74" i="24" s="1"/>
  <c r="BB66" i="24"/>
  <c r="BB73" i="24" l="1"/>
  <c r="BB62" i="24"/>
  <c r="BB21" i="24" s="1"/>
  <c r="BC24" i="24"/>
  <c r="BB22" i="24" l="1"/>
  <c r="BC61" i="24"/>
  <c r="BB23" i="24"/>
  <c r="BB13" i="24" s="1"/>
  <c r="BC72" i="24"/>
  <c r="BD36" i="24" l="1"/>
  <c r="BC57" i="24"/>
  <c r="BC59" i="24"/>
  <c r="BA20" i="24"/>
  <c r="BA41" i="24" s="1"/>
  <c r="BB34" i="24"/>
  <c r="BB12" i="24"/>
  <c r="BB33" i="24"/>
  <c r="BB40" i="24"/>
  <c r="BC68" i="24"/>
  <c r="BC70" i="24"/>
  <c r="AX42" i="24" l="1"/>
  <c r="BB17" i="24"/>
  <c r="BC56" i="24"/>
  <c r="BC67" i="24"/>
  <c r="BD25" i="24"/>
  <c r="BD71" i="24" l="1"/>
  <c r="BE74" i="24" s="1"/>
  <c r="BC66" i="24"/>
  <c r="BD60" i="24"/>
  <c r="BE63" i="24" s="1"/>
  <c r="BC19" i="24"/>
  <c r="BC55" i="24"/>
  <c r="BC73" i="24" l="1"/>
  <c r="BC62" i="24"/>
  <c r="BC21" i="24" s="1"/>
  <c r="BD24" i="24"/>
  <c r="BC22" i="24" l="1"/>
  <c r="BD61" i="24"/>
  <c r="BC23" i="24"/>
  <c r="BC13" i="24" s="1"/>
  <c r="BD72" i="24"/>
  <c r="BD68" i="24" l="1"/>
  <c r="BD70" i="24"/>
  <c r="BD57" i="24"/>
  <c r="BE36" i="24"/>
  <c r="BD59" i="24"/>
  <c r="BC33" i="24"/>
  <c r="BC12" i="24"/>
  <c r="BC40" i="24"/>
  <c r="BB20" i="24"/>
  <c r="BB41" i="24" s="1"/>
  <c r="BC34" i="24"/>
  <c r="AY42" i="24" l="1"/>
  <c r="BC17" i="24"/>
  <c r="BD56" i="24"/>
  <c r="BD67" i="24"/>
  <c r="BE25" i="24"/>
  <c r="BE60" i="24" l="1"/>
  <c r="BF63" i="24" s="1"/>
  <c r="BD19" i="24"/>
  <c r="BD55" i="24"/>
  <c r="BE71" i="24"/>
  <c r="BF74" i="24" s="1"/>
  <c r="BD66" i="24"/>
  <c r="BD73" i="24" l="1"/>
  <c r="BD62" i="24"/>
  <c r="BD21" i="24" s="1"/>
  <c r="BE24" i="24"/>
  <c r="BD22" i="24" l="1"/>
  <c r="BE61" i="24"/>
  <c r="BD23" i="24"/>
  <c r="BD13" i="24" s="1"/>
  <c r="BE72" i="24"/>
  <c r="BE68" i="24" l="1"/>
  <c r="BE70" i="24"/>
  <c r="BE57" i="24"/>
  <c r="BF36" i="24"/>
  <c r="BE59" i="24"/>
  <c r="BD12" i="24"/>
  <c r="BD33" i="24"/>
  <c r="BD40" i="24"/>
  <c r="BD34" i="24"/>
  <c r="BC20" i="24"/>
  <c r="BC41" i="24" s="1"/>
  <c r="AZ42" i="24" l="1"/>
  <c r="BD17" i="24"/>
  <c r="BF25" i="24"/>
  <c r="BE67" i="24"/>
  <c r="BE56" i="24"/>
  <c r="BF60" i="24" l="1"/>
  <c r="BG63" i="24" s="1"/>
  <c r="BE19" i="24"/>
  <c r="BE55" i="24"/>
  <c r="BF71" i="24"/>
  <c r="BG74" i="24" s="1"/>
  <c r="BE66" i="24"/>
  <c r="BE73" i="24" l="1"/>
  <c r="BE62" i="24"/>
  <c r="BE21" i="24" s="1"/>
  <c r="BF24" i="24"/>
  <c r="BE22" i="24" l="1"/>
  <c r="BF61" i="24"/>
  <c r="BE23" i="24"/>
  <c r="BE13" i="24" s="1"/>
  <c r="BF72" i="24"/>
  <c r="BF68" i="24" l="1"/>
  <c r="BF70" i="24"/>
  <c r="BE33" i="24"/>
  <c r="BE12" i="24"/>
  <c r="BE40" i="24"/>
  <c r="BD20" i="24"/>
  <c r="BD41" i="24" s="1"/>
  <c r="BE34" i="24"/>
  <c r="BF57" i="24"/>
  <c r="BG36" i="24"/>
  <c r="BF59" i="24"/>
  <c r="BA42" i="24" l="1"/>
  <c r="BE17" i="24"/>
  <c r="BF56" i="24"/>
  <c r="BF67" i="24"/>
  <c r="BG25" i="24"/>
  <c r="BG60" i="24" l="1"/>
  <c r="BF19" i="24"/>
  <c r="BF55" i="24"/>
  <c r="BG71" i="24"/>
  <c r="BF66" i="24"/>
  <c r="BF73" i="24" l="1"/>
  <c r="BF62" i="24"/>
  <c r="BF21" i="24" s="1"/>
  <c r="BG24" i="24"/>
  <c r="BF22" i="24" l="1"/>
  <c r="BG61" i="24"/>
  <c r="BF23" i="24"/>
  <c r="BF13" i="24" s="1"/>
  <c r="BG72" i="24"/>
  <c r="BG57" i="24" l="1"/>
  <c r="BG59" i="24"/>
  <c r="BG68" i="24"/>
  <c r="BG70" i="24"/>
  <c r="BE20" i="24"/>
  <c r="BE41" i="24" s="1"/>
  <c r="BG20" i="24"/>
  <c r="BF34" i="24"/>
  <c r="BF33" i="24"/>
  <c r="BF12" i="24"/>
  <c r="BF40" i="24"/>
  <c r="BB42" i="24" l="1"/>
  <c r="BG56" i="24"/>
  <c r="BG55" i="24" s="1"/>
  <c r="BG62" i="24" s="1"/>
  <c r="BG21" i="24" s="1"/>
  <c r="BG67" i="24"/>
  <c r="BG66" i="24" s="1"/>
  <c r="BG73" i="24" s="1"/>
  <c r="BG23" i="24" s="1"/>
  <c r="BG13" i="24" s="1"/>
  <c r="BF17" i="24"/>
  <c r="G23" i="24" l="1"/>
  <c r="B23" i="24"/>
  <c r="BG19" i="24"/>
  <c r="G19" i="24" s="1"/>
  <c r="H24" i="24" s="1"/>
  <c r="H40" i="24" s="1"/>
  <c r="H42" i="24" s="1"/>
  <c r="BG22" i="24"/>
  <c r="BG41" i="24" s="1"/>
  <c r="F19" i="24" l="1"/>
  <c r="E19" i="24"/>
  <c r="O23" i="4" s="1"/>
  <c r="D19" i="24"/>
  <c r="O22" i="4" s="1"/>
  <c r="C19" i="24"/>
  <c r="O21" i="4" s="1"/>
  <c r="Q21" i="4" s="1"/>
  <c r="B19" i="24"/>
  <c r="BG40" i="24"/>
  <c r="BG12" i="24"/>
  <c r="BG33" i="24"/>
  <c r="B21" i="24"/>
  <c r="G21" i="24"/>
  <c r="B24" i="24"/>
  <c r="G24" i="24"/>
  <c r="BF20" i="24"/>
  <c r="BF41" i="24" s="1"/>
  <c r="O43" i="24" s="1"/>
  <c r="BG34" i="24"/>
  <c r="G34" i="24" s="1"/>
  <c r="G22" i="24"/>
  <c r="H20" i="24" s="1"/>
  <c r="B22" i="24"/>
  <c r="BG42" i="24" l="1"/>
  <c r="BF42" i="24"/>
  <c r="BE42" i="24"/>
  <c r="BD42" i="24"/>
  <c r="BC42" i="24"/>
  <c r="H44" i="24"/>
  <c r="AM43" i="24"/>
  <c r="AE43" i="24"/>
  <c r="W43" i="24"/>
  <c r="AS43" i="24"/>
  <c r="AR43" i="24"/>
  <c r="AT43" i="24"/>
  <c r="AU43" i="24"/>
  <c r="AV43" i="24"/>
  <c r="AO43" i="24"/>
  <c r="AG43" i="24"/>
  <c r="Y43" i="24"/>
  <c r="Q43" i="24"/>
  <c r="AN43" i="24"/>
  <c r="AF43" i="24"/>
  <c r="X43" i="24"/>
  <c r="P43" i="24"/>
  <c r="AL43" i="24"/>
  <c r="AD43" i="24"/>
  <c r="V43" i="24"/>
  <c r="N43" i="24"/>
  <c r="AK43" i="24"/>
  <c r="AC43" i="24"/>
  <c r="U43" i="24"/>
  <c r="M43" i="24"/>
  <c r="AJ43" i="24"/>
  <c r="AB43" i="24"/>
  <c r="T43" i="24"/>
  <c r="L43" i="24"/>
  <c r="AQ43" i="24"/>
  <c r="AI43" i="24"/>
  <c r="AA43" i="24"/>
  <c r="S43" i="24"/>
  <c r="K43" i="24"/>
  <c r="AP43" i="24"/>
  <c r="AH43" i="24"/>
  <c r="Z43" i="24"/>
  <c r="R43" i="24"/>
  <c r="J43" i="24"/>
  <c r="BG17" i="24"/>
  <c r="G33" i="24"/>
  <c r="W5" i="24" s="1"/>
  <c r="AX43" i="24"/>
  <c r="I25" i="24"/>
  <c r="I41" i="24" s="1"/>
  <c r="BG43" i="24"/>
  <c r="I49" i="24" l="1"/>
  <c r="I37" i="24" s="1" a="1"/>
  <c r="I37" i="24" s="1"/>
  <c r="H51" i="24"/>
  <c r="I44" i="24"/>
  <c r="I51" i="24" s="1"/>
  <c r="J44" i="24"/>
  <c r="J51" i="24" s="1"/>
  <c r="K44" i="24"/>
  <c r="K51" i="24" s="1"/>
  <c r="W4" i="24"/>
  <c r="W6" i="24" s="1"/>
  <c r="E20" i="24"/>
  <c r="O20" i="4" s="1"/>
  <c r="Q20" i="4" s="1"/>
  <c r="H41" i="24"/>
  <c r="BA43" i="24"/>
  <c r="AZ43" i="24"/>
  <c r="AY43" i="24"/>
  <c r="D20" i="24"/>
  <c r="F20" i="24"/>
  <c r="C20" i="24"/>
  <c r="G25" i="24"/>
  <c r="B25" i="24"/>
  <c r="I43" i="24"/>
  <c r="BF43" i="24"/>
  <c r="AW43" i="24"/>
  <c r="BB43" i="24"/>
  <c r="BD43" i="24"/>
  <c r="BC43" i="24"/>
  <c r="BE43" i="24"/>
  <c r="I48" i="24" l="1"/>
  <c r="I28" i="24" s="1"/>
  <c r="J45" i="24"/>
  <c r="H43" i="24"/>
  <c r="H28" i="24"/>
  <c r="J49" i="24"/>
  <c r="I27" i="24" l="1"/>
  <c r="I29" i="24" s="1"/>
  <c r="I16" i="24" s="1"/>
  <c r="H16" i="24"/>
  <c r="J37" i="24" a="1"/>
  <c r="J37" i="24" s="1"/>
  <c r="K46" i="24"/>
  <c r="J52" i="24"/>
  <c r="K45" i="24"/>
  <c r="K49" i="24"/>
  <c r="K37" i="24" s="1" a="1"/>
  <c r="K37" i="24" s="1"/>
  <c r="J48" i="24"/>
  <c r="J28" i="24" l="1"/>
  <c r="J27" i="24"/>
  <c r="L45" i="24"/>
  <c r="K48" i="24"/>
  <c r="L49" i="24"/>
  <c r="L44" i="24"/>
  <c r="K52" i="24"/>
  <c r="L46" i="24"/>
  <c r="K28" i="24" l="1"/>
  <c r="J31" i="24" s="1"/>
  <c r="K27" i="24"/>
  <c r="M46" i="24"/>
  <c r="L52" i="24"/>
  <c r="M45" i="24"/>
  <c r="L48" i="24"/>
  <c r="L51" i="24"/>
  <c r="M49" i="24"/>
  <c r="M48" i="24" s="1"/>
  <c r="L37" i="24" a="1"/>
  <c r="L37" i="24" s="1"/>
  <c r="J29" i="24"/>
  <c r="J16" i="24" s="1"/>
  <c r="I31" i="24"/>
  <c r="M44" i="24"/>
  <c r="I30" i="24" l="1"/>
  <c r="J30" i="24"/>
  <c r="J26" i="24" s="1"/>
  <c r="J15" i="24" s="1"/>
  <c r="M37" i="24" a="1"/>
  <c r="M37" i="24" s="1"/>
  <c r="M27" i="24" s="1"/>
  <c r="M52" i="24"/>
  <c r="N46" i="24"/>
  <c r="N49" i="24"/>
  <c r="N48" i="24" s="1"/>
  <c r="M51" i="24"/>
  <c r="N45" i="24"/>
  <c r="M28" i="24"/>
  <c r="J32" i="24"/>
  <c r="J14" i="24" s="1"/>
  <c r="I11" i="24"/>
  <c r="I26" i="24"/>
  <c r="N44" i="24"/>
  <c r="K29" i="24"/>
  <c r="K16" i="24" s="1"/>
  <c r="L27" i="24"/>
  <c r="L28" i="24"/>
  <c r="K30" i="24" l="1"/>
  <c r="K32" i="24"/>
  <c r="K14" i="24" s="1"/>
  <c r="J11" i="24"/>
  <c r="K31" i="24"/>
  <c r="O46" i="24"/>
  <c r="N52" i="24"/>
  <c r="N28" i="24"/>
  <c r="N51" i="24"/>
  <c r="O49" i="24"/>
  <c r="O45" i="24"/>
  <c r="N37" i="24" a="1"/>
  <c r="N37" i="24" s="1"/>
  <c r="N27" i="24" s="1"/>
  <c r="M29" i="24"/>
  <c r="M16" i="24" s="1"/>
  <c r="O44" i="24"/>
  <c r="I15" i="24"/>
  <c r="L31" i="24"/>
  <c r="L29" i="24"/>
  <c r="L30" i="24" l="1"/>
  <c r="L11" i="24" s="1"/>
  <c r="K11" i="24"/>
  <c r="K26" i="24"/>
  <c r="K15" i="24" s="1"/>
  <c r="L32" i="24"/>
  <c r="L14" i="24" s="1"/>
  <c r="N29" i="24"/>
  <c r="N16" i="24" s="1"/>
  <c r="P49" i="24"/>
  <c r="O51" i="24"/>
  <c r="O48" i="24"/>
  <c r="P44" i="24"/>
  <c r="P45" i="24"/>
  <c r="O37" i="24" a="1"/>
  <c r="O37" i="24" s="1"/>
  <c r="L16" i="24"/>
  <c r="M31" i="24"/>
  <c r="P46" i="24"/>
  <c r="O52" i="24"/>
  <c r="M30" i="24" l="1"/>
  <c r="M26" i="24" s="1"/>
  <c r="M15" i="24" s="1"/>
  <c r="L26" i="24"/>
  <c r="L15" i="24" s="1"/>
  <c r="M32" i="24"/>
  <c r="M14" i="24" s="1"/>
  <c r="Q45" i="24"/>
  <c r="P37" i="24" a="1"/>
  <c r="P37" i="24" s="1"/>
  <c r="O27" i="24"/>
  <c r="O28" i="24"/>
  <c r="Q44" i="24"/>
  <c r="P52" i="24"/>
  <c r="Q46" i="24"/>
  <c r="P51" i="24"/>
  <c r="Q49" i="24"/>
  <c r="Q48" i="24" s="1"/>
  <c r="P48" i="24"/>
  <c r="M11" i="24" l="1"/>
  <c r="N32" i="24"/>
  <c r="N14" i="24" s="1"/>
  <c r="O29" i="24"/>
  <c r="O16" i="24" s="1"/>
  <c r="R49" i="24"/>
  <c r="Q51" i="24"/>
  <c r="P28" i="24"/>
  <c r="O31" i="24" s="1"/>
  <c r="P27" i="24"/>
  <c r="R45" i="24"/>
  <c r="Q37" i="24" a="1"/>
  <c r="Q37" i="24" s="1"/>
  <c r="Q27" i="24" s="1"/>
  <c r="R46" i="24"/>
  <c r="Q52" i="24"/>
  <c r="R44" i="24"/>
  <c r="Q28" i="24"/>
  <c r="N31" i="24"/>
  <c r="N30" i="24" l="1"/>
  <c r="N11" i="24" s="1"/>
  <c r="P30" i="24"/>
  <c r="R51" i="24"/>
  <c r="S49" i="24"/>
  <c r="S48" i="24" s="1"/>
  <c r="P29" i="24"/>
  <c r="P16" i="24" s="1"/>
  <c r="S44" i="24"/>
  <c r="P31" i="24"/>
  <c r="Q29" i="24"/>
  <c r="Q16" i="24" s="1"/>
  <c r="S45" i="24"/>
  <c r="R37" i="24" a="1"/>
  <c r="R37" i="24" s="1"/>
  <c r="S46" i="24"/>
  <c r="R52" i="24"/>
  <c r="R48" i="24"/>
  <c r="O30" i="24" l="1"/>
  <c r="O11" i="24" s="1"/>
  <c r="N26" i="24"/>
  <c r="N15" i="24" s="1"/>
  <c r="O32" i="24"/>
  <c r="O14" i="24" s="1"/>
  <c r="P32" i="24"/>
  <c r="P14" i="24" s="1"/>
  <c r="O26" i="24"/>
  <c r="O15" i="24" s="1"/>
  <c r="P26" i="24"/>
  <c r="P15" i="24" s="1"/>
  <c r="P11" i="24"/>
  <c r="Q32" i="24"/>
  <c r="Q14" i="24" s="1"/>
  <c r="R27" i="24"/>
  <c r="R28" i="24"/>
  <c r="T46" i="24"/>
  <c r="S52" i="24"/>
  <c r="S28" i="24"/>
  <c r="T45" i="24"/>
  <c r="S37" i="24" a="1"/>
  <c r="S37" i="24" s="1"/>
  <c r="S27" i="24" s="1"/>
  <c r="T49" i="24"/>
  <c r="S51" i="24"/>
  <c r="T44" i="24"/>
  <c r="Q30" i="24" l="1"/>
  <c r="S29" i="24"/>
  <c r="S16" i="24" s="1"/>
  <c r="U44" i="24"/>
  <c r="T52" i="24"/>
  <c r="U46" i="24"/>
  <c r="T51" i="24"/>
  <c r="U49" i="24"/>
  <c r="U37" i="24" s="1" a="1"/>
  <c r="U37" i="24" s="1"/>
  <c r="R31" i="24"/>
  <c r="Q31" i="24"/>
  <c r="R29" i="24"/>
  <c r="R16" i="24" s="1"/>
  <c r="U45" i="24"/>
  <c r="T37" i="24" a="1"/>
  <c r="T37" i="24" s="1"/>
  <c r="T48" i="24"/>
  <c r="R30" i="24" l="1"/>
  <c r="R26" i="24" s="1"/>
  <c r="R15" i="24" s="1"/>
  <c r="V49" i="24"/>
  <c r="U51" i="24"/>
  <c r="V45" i="24"/>
  <c r="V44" i="24"/>
  <c r="U52" i="24"/>
  <c r="V46" i="24"/>
  <c r="T28" i="24"/>
  <c r="T27" i="24"/>
  <c r="Q11" i="24"/>
  <c r="R32" i="24"/>
  <c r="R14" i="24" s="1"/>
  <c r="Q26" i="24"/>
  <c r="Q15" i="24" s="1"/>
  <c r="U48" i="24"/>
  <c r="S32" i="24" l="1"/>
  <c r="S14" i="24" s="1"/>
  <c r="R11" i="24"/>
  <c r="U28" i="24"/>
  <c r="U27" i="24"/>
  <c r="S31" i="24"/>
  <c r="W46" i="24"/>
  <c r="V52" i="24"/>
  <c r="T29" i="24"/>
  <c r="T16" i="24" s="1"/>
  <c r="W44" i="24"/>
  <c r="W49" i="24"/>
  <c r="W48" i="24" s="1"/>
  <c r="V51" i="24"/>
  <c r="W45" i="24"/>
  <c r="V37" i="24" a="1"/>
  <c r="V37" i="24" s="1"/>
  <c r="V48" i="24"/>
  <c r="S30" i="24" l="1"/>
  <c r="T32" i="24" s="1"/>
  <c r="T14" i="24" s="1"/>
  <c r="V27" i="24"/>
  <c r="T31" i="24"/>
  <c r="W28" i="24"/>
  <c r="W51" i="24"/>
  <c r="X49" i="24"/>
  <c r="X48" i="24" s="1"/>
  <c r="X44" i="24"/>
  <c r="U29" i="24"/>
  <c r="T30" i="24" s="1"/>
  <c r="V28" i="24"/>
  <c r="U31" i="24" s="1"/>
  <c r="X45" i="24"/>
  <c r="W37" i="24" a="1"/>
  <c r="W37" i="24" s="1"/>
  <c r="W27" i="24" s="1"/>
  <c r="W52" i="24"/>
  <c r="X46" i="24"/>
  <c r="V29" i="24" l="1"/>
  <c r="V30" i="24"/>
  <c r="U30" i="24"/>
  <c r="S11" i="24"/>
  <c r="S26" i="24"/>
  <c r="S15" i="24" s="1"/>
  <c r="V16" i="24"/>
  <c r="T11" i="24"/>
  <c r="T26" i="24"/>
  <c r="T15" i="24" s="1"/>
  <c r="U32" i="24"/>
  <c r="U14" i="24" s="1"/>
  <c r="V31" i="24"/>
  <c r="W29" i="24"/>
  <c r="W16" i="24" s="1"/>
  <c r="Y45" i="24"/>
  <c r="X37" i="24" a="1"/>
  <c r="X37" i="24" s="1"/>
  <c r="X27" i="24" s="1"/>
  <c r="X28" i="24"/>
  <c r="W31" i="24" s="1"/>
  <c r="U16" i="24"/>
  <c r="Y44" i="24"/>
  <c r="Y46" i="24"/>
  <c r="Z44" i="24" s="1"/>
  <c r="X52" i="24"/>
  <c r="Y49" i="24"/>
  <c r="Y48" i="24" s="1"/>
  <c r="X51" i="24"/>
  <c r="W30" i="24" l="1"/>
  <c r="U26" i="24"/>
  <c r="U15" i="24" s="1"/>
  <c r="V26" i="24"/>
  <c r="V15" i="24" s="1"/>
  <c r="X29" i="24"/>
  <c r="X16" i="24" s="1"/>
  <c r="V32" i="24"/>
  <c r="V14" i="24" s="1"/>
  <c r="U11" i="24"/>
  <c r="V11" i="24"/>
  <c r="W32" i="24"/>
  <c r="W14" i="24" s="1"/>
  <c r="Y28" i="24"/>
  <c r="Z45" i="24"/>
  <c r="Y37" i="24" a="1"/>
  <c r="Y37" i="24" s="1"/>
  <c r="Y27" i="24" s="1"/>
  <c r="Y51" i="24"/>
  <c r="Z49" i="24"/>
  <c r="Z48" i="24" s="1"/>
  <c r="Z46" i="24"/>
  <c r="Y52" i="24"/>
  <c r="W11" i="24" l="1"/>
  <c r="Y29" i="24"/>
  <c r="Y16" i="24" s="1"/>
  <c r="AA49" i="24"/>
  <c r="AA48" i="24" s="1"/>
  <c r="Z51" i="24"/>
  <c r="AA44" i="24"/>
  <c r="AA45" i="24"/>
  <c r="Z52" i="24"/>
  <c r="AA46" i="24"/>
  <c r="Z28" i="24"/>
  <c r="Y31" i="24" s="1"/>
  <c r="X31" i="24"/>
  <c r="Z37" i="24" a="1"/>
  <c r="Z37" i="24" s="1"/>
  <c r="Z27" i="24" s="1"/>
  <c r="X30" i="24" l="1"/>
  <c r="W26" i="24"/>
  <c r="W15" i="24" s="1"/>
  <c r="X32" i="24"/>
  <c r="X14" i="24" s="1"/>
  <c r="Y32" i="24"/>
  <c r="Y14" i="24" s="1"/>
  <c r="Z29" i="24"/>
  <c r="Z16" i="24" s="1"/>
  <c r="AB46" i="24"/>
  <c r="AA52" i="24"/>
  <c r="AB49" i="24"/>
  <c r="AB48" i="24" s="1"/>
  <c r="AA51" i="24"/>
  <c r="AB44" i="24"/>
  <c r="AA28" i="24"/>
  <c r="Z31" i="24" s="1"/>
  <c r="AB45" i="24"/>
  <c r="AA37" i="24" a="1"/>
  <c r="AA37" i="24" s="1"/>
  <c r="AA27" i="24" s="1"/>
  <c r="Y30" i="24" l="1"/>
  <c r="X26" i="24"/>
  <c r="X15" i="24" s="1"/>
  <c r="X11" i="24"/>
  <c r="Y26" i="24"/>
  <c r="Y15" i="24" s="1"/>
  <c r="AB37" i="24" a="1"/>
  <c r="AB37" i="24" s="1"/>
  <c r="AB27" i="24" s="1"/>
  <c r="AA29" i="24"/>
  <c r="AA16" i="24" s="1"/>
  <c r="AB51" i="24"/>
  <c r="AC49" i="24"/>
  <c r="AC48" i="24" s="1"/>
  <c r="AC44" i="24"/>
  <c r="AB28" i="24"/>
  <c r="AA31" i="24" s="1"/>
  <c r="AC46" i="24"/>
  <c r="AB52" i="24"/>
  <c r="AC45" i="24"/>
  <c r="Z30" i="24" l="1"/>
  <c r="AA32" i="24" s="1"/>
  <c r="AA14" i="24" s="1"/>
  <c r="AB29" i="24"/>
  <c r="AA30" i="24" s="1"/>
  <c r="Y11" i="24"/>
  <c r="Z32" i="24"/>
  <c r="Z14" i="24" s="1"/>
  <c r="AD45" i="24"/>
  <c r="AC37" i="24" a="1"/>
  <c r="AC37" i="24" s="1"/>
  <c r="AC27" i="24" s="1"/>
  <c r="AC28" i="24"/>
  <c r="AB31" i="24" s="1"/>
  <c r="AD44" i="24"/>
  <c r="AD46" i="24"/>
  <c r="AC52" i="24"/>
  <c r="AD49" i="24"/>
  <c r="AC51" i="24"/>
  <c r="AB30" i="24" l="1"/>
  <c r="AD37" i="24" a="1"/>
  <c r="AD37" i="24" s="1"/>
  <c r="Z11" i="24"/>
  <c r="Z26" i="24"/>
  <c r="Z15" i="24" s="1"/>
  <c r="AD48" i="24"/>
  <c r="AE44" i="24"/>
  <c r="AD51" i="24"/>
  <c r="AE49" i="24"/>
  <c r="AE48" i="24" s="1"/>
  <c r="AE45" i="24"/>
  <c r="AB16" i="24"/>
  <c r="AE46" i="24"/>
  <c r="AF44" i="24" s="1"/>
  <c r="AD52" i="24"/>
  <c r="AC29" i="24"/>
  <c r="AC16" i="24" s="1"/>
  <c r="AA11" i="24"/>
  <c r="AB32" i="24"/>
  <c r="AB14" i="24" s="1"/>
  <c r="AA26" i="24"/>
  <c r="AA15" i="24" s="1"/>
  <c r="AC32" i="24" l="1"/>
  <c r="AC14" i="24" s="1"/>
  <c r="AE37" i="24" a="1"/>
  <c r="AE37" i="24" s="1"/>
  <c r="AE27" i="24" s="1"/>
  <c r="AE28" i="24"/>
  <c r="AE51" i="24"/>
  <c r="AF49" i="24"/>
  <c r="AE52" i="24"/>
  <c r="AF46" i="24"/>
  <c r="AD28" i="24"/>
  <c r="AD27" i="24"/>
  <c r="AF45" i="24"/>
  <c r="AC30" i="24" l="1"/>
  <c r="AB11" i="24"/>
  <c r="AB26" i="24"/>
  <c r="AB15" i="24" s="1"/>
  <c r="AF48" i="24"/>
  <c r="AF28" i="24" s="1"/>
  <c r="AE31" i="24" s="1"/>
  <c r="AF37" i="24" a="1"/>
  <c r="AF37" i="24" s="1"/>
  <c r="AG49" i="24"/>
  <c r="AG37" i="24" s="1" a="1"/>
  <c r="AG37" i="24" s="1"/>
  <c r="AF51" i="24"/>
  <c r="AG45" i="24"/>
  <c r="AD31" i="24"/>
  <c r="AC31" i="24"/>
  <c r="AG44" i="24"/>
  <c r="AF52" i="24"/>
  <c r="AG46" i="24"/>
  <c r="AD29" i="24"/>
  <c r="AD16" i="24" s="1"/>
  <c r="AE29" i="24"/>
  <c r="AE16" i="24" s="1"/>
  <c r="AD30" i="24" l="1"/>
  <c r="AD11" i="24" s="1"/>
  <c r="AC26" i="24"/>
  <c r="AC15" i="24" s="1"/>
  <c r="AF27" i="24"/>
  <c r="AG52" i="24"/>
  <c r="AH46" i="24"/>
  <c r="AG51" i="24"/>
  <c r="AH49" i="24"/>
  <c r="AH37" i="24" s="1" a="1"/>
  <c r="AH37" i="24" s="1"/>
  <c r="AH44" i="24"/>
  <c r="AH45" i="24"/>
  <c r="AG48" i="24"/>
  <c r="AG27" i="24" s="1"/>
  <c r="AD32" i="24" l="1"/>
  <c r="AD14" i="24" s="1"/>
  <c r="AC11" i="24"/>
  <c r="AF29" i="24"/>
  <c r="AF16" i="24" s="1"/>
  <c r="AD26" i="24"/>
  <c r="AD15" i="24" s="1"/>
  <c r="AE32" i="24"/>
  <c r="AE14" i="24" s="1"/>
  <c r="AI45" i="24"/>
  <c r="AI44" i="24"/>
  <c r="AH48" i="24"/>
  <c r="AG28" i="24"/>
  <c r="AI46" i="24"/>
  <c r="AH52" i="24"/>
  <c r="AH51" i="24"/>
  <c r="AI49" i="24"/>
  <c r="AE30" i="24" l="1"/>
  <c r="AI48" i="24"/>
  <c r="AI28" i="24" s="1"/>
  <c r="AI37" i="24" a="1"/>
  <c r="AI37" i="24" s="1"/>
  <c r="AI51" i="24"/>
  <c r="AJ49" i="24"/>
  <c r="AJ37" i="24" s="1" a="1"/>
  <c r="AJ37" i="24" s="1"/>
  <c r="AH28" i="24"/>
  <c r="AG31" i="24" s="1"/>
  <c r="AH27" i="24"/>
  <c r="AF31" i="24"/>
  <c r="AI52" i="24"/>
  <c r="AJ46" i="24"/>
  <c r="AG29" i="24"/>
  <c r="AJ45" i="24"/>
  <c r="AJ44" i="24"/>
  <c r="AG16" i="24" l="1"/>
  <c r="AF30" i="24"/>
  <c r="AF11" i="24" s="1"/>
  <c r="AE11" i="24"/>
  <c r="AF32" i="24"/>
  <c r="AF14" i="24" s="1"/>
  <c r="AE26" i="24"/>
  <c r="AE15" i="24" s="1"/>
  <c r="AI27" i="24"/>
  <c r="AH31" i="24"/>
  <c r="AH29" i="24"/>
  <c r="AH16" i="24" s="1"/>
  <c r="AK45" i="24"/>
  <c r="AK49" i="24"/>
  <c r="AJ51" i="24"/>
  <c r="AJ48" i="24"/>
  <c r="AK44" i="24"/>
  <c r="AK46" i="24"/>
  <c r="AJ52" i="24"/>
  <c r="AG30" i="24" l="1"/>
  <c r="AG26" i="24" s="1"/>
  <c r="AG15" i="24" s="1"/>
  <c r="AI29" i="24"/>
  <c r="AI16" i="24" s="1"/>
  <c r="AG32" i="24"/>
  <c r="AG14" i="24" s="1"/>
  <c r="AF26" i="24"/>
  <c r="AF15" i="24" s="1"/>
  <c r="AK37" i="24" a="1"/>
  <c r="AK37" i="24" s="1"/>
  <c r="AL46" i="24"/>
  <c r="AK52" i="24"/>
  <c r="AL49" i="24"/>
  <c r="AL48" i="24" s="1"/>
  <c r="AK51" i="24"/>
  <c r="AL45" i="24"/>
  <c r="AL44" i="24"/>
  <c r="AJ28" i="24"/>
  <c r="AJ27" i="24"/>
  <c r="AK48" i="24"/>
  <c r="AH30" i="24" l="1"/>
  <c r="AH26" i="24" s="1"/>
  <c r="AH15" i="24" s="1"/>
  <c r="AI30" i="24"/>
  <c r="AG11" i="24"/>
  <c r="AH32" i="24"/>
  <c r="AH14" i="24" s="1"/>
  <c r="AL37" i="24" a="1"/>
  <c r="AL37" i="24" s="1"/>
  <c r="AL27" i="24" s="1"/>
  <c r="AI31" i="24"/>
  <c r="AM45" i="24"/>
  <c r="AL28" i="24"/>
  <c r="AM49" i="24"/>
  <c r="AL51" i="24"/>
  <c r="AK28" i="24"/>
  <c r="AK27" i="24"/>
  <c r="AM46" i="24"/>
  <c r="AL52" i="24"/>
  <c r="AJ29" i="24"/>
  <c r="AJ16" i="24" s="1"/>
  <c r="AM44" i="24"/>
  <c r="AI32" i="24" l="1"/>
  <c r="AI14" i="24" s="1"/>
  <c r="AH11" i="24"/>
  <c r="AI11" i="24"/>
  <c r="AM48" i="24"/>
  <c r="AM28" i="24" s="1"/>
  <c r="AL31" i="24" s="1"/>
  <c r="AM37" i="24" a="1"/>
  <c r="AM37" i="24" s="1"/>
  <c r="AL29" i="24"/>
  <c r="AL16" i="24" s="1"/>
  <c r="AN49" i="24"/>
  <c r="AN48" i="24" s="1"/>
  <c r="AM51" i="24"/>
  <c r="AK31" i="24"/>
  <c r="AN46" i="24"/>
  <c r="AM52" i="24"/>
  <c r="AN44" i="24"/>
  <c r="AK29" i="24"/>
  <c r="AK16" i="24" s="1"/>
  <c r="AN45" i="24"/>
  <c r="AJ31" i="24"/>
  <c r="AK30" i="24" l="1"/>
  <c r="AJ30" i="24"/>
  <c r="AK32" i="24" s="1"/>
  <c r="AK14" i="24" s="1"/>
  <c r="AI26" i="24"/>
  <c r="AI15" i="24" s="1"/>
  <c r="AJ32" i="24"/>
  <c r="AJ14" i="24" s="1"/>
  <c r="AK26" i="24"/>
  <c r="AK15" i="24" s="1"/>
  <c r="AM27" i="24"/>
  <c r="AN28" i="24"/>
  <c r="AM31" i="24" s="1"/>
  <c r="AO45" i="24"/>
  <c r="AN37" i="24" a="1"/>
  <c r="AN37" i="24" s="1"/>
  <c r="AN27" i="24" s="1"/>
  <c r="AO49" i="24"/>
  <c r="AO48" i="24" s="1"/>
  <c r="AN51" i="24"/>
  <c r="AO46" i="24"/>
  <c r="AN52" i="24"/>
  <c r="AO44" i="24"/>
  <c r="AJ26" i="24" l="1"/>
  <c r="AJ15" i="24" s="1"/>
  <c r="AJ11" i="24"/>
  <c r="AL32" i="24"/>
  <c r="AL14" i="24" s="1"/>
  <c r="AK11" i="24"/>
  <c r="AM29" i="24"/>
  <c r="AM16" i="24" s="1"/>
  <c r="AN29" i="24"/>
  <c r="AN16" i="24" s="1"/>
  <c r="AP44" i="24"/>
  <c r="AO52" i="24"/>
  <c r="AP46" i="24"/>
  <c r="AO28" i="24"/>
  <c r="AN31" i="24" s="1"/>
  <c r="AP49" i="24"/>
  <c r="AP37" i="24" s="1" a="1"/>
  <c r="AP37" i="24" s="1"/>
  <c r="AO51" i="24"/>
  <c r="AP45" i="24"/>
  <c r="AO37" i="24" a="1"/>
  <c r="AO37" i="24" s="1"/>
  <c r="AO27" i="24" s="1"/>
  <c r="AM30" i="24" l="1"/>
  <c r="AM26" i="24" s="1"/>
  <c r="AM15" i="24" s="1"/>
  <c r="AL30" i="24"/>
  <c r="AM32" i="24" s="1"/>
  <c r="AM14" i="24" s="1"/>
  <c r="AO29" i="24"/>
  <c r="AO16" i="24" s="1"/>
  <c r="AQ49" i="24"/>
  <c r="AP51" i="24"/>
  <c r="AQ45" i="24"/>
  <c r="AQ46" i="24"/>
  <c r="AP52" i="24"/>
  <c r="AP48" i="24"/>
  <c r="AQ44" i="24"/>
  <c r="AN30" i="24" l="1"/>
  <c r="AL11" i="24"/>
  <c r="AL26" i="24"/>
  <c r="AL15" i="24" s="1"/>
  <c r="AN26" i="24"/>
  <c r="AN15" i="24" s="1"/>
  <c r="AN32" i="24"/>
  <c r="AN14" i="24" s="1"/>
  <c r="AM11" i="24"/>
  <c r="AQ48" i="24"/>
  <c r="AQ28" i="24" s="1"/>
  <c r="AQ37" i="24" a="1"/>
  <c r="AQ37" i="24" s="1"/>
  <c r="AP28" i="24"/>
  <c r="AP27" i="24"/>
  <c r="AR45" i="24"/>
  <c r="AR44" i="24"/>
  <c r="AR46" i="24"/>
  <c r="AQ52" i="24"/>
  <c r="AQ51" i="24"/>
  <c r="AR49" i="24"/>
  <c r="AO30" i="24" l="1"/>
  <c r="AN11" i="24"/>
  <c r="AO32" i="24"/>
  <c r="AO14" i="24" s="1"/>
  <c r="AQ27" i="24"/>
  <c r="AR48" i="24"/>
  <c r="AR28" i="24" s="1"/>
  <c r="AQ31" i="24" s="1"/>
  <c r="AR37" i="24" a="1"/>
  <c r="AR37" i="24" s="1"/>
  <c r="AR51" i="24"/>
  <c r="AS49" i="24"/>
  <c r="AS37" i="24" s="1" a="1"/>
  <c r="AS37" i="24" s="1"/>
  <c r="AS44" i="24"/>
  <c r="AS45" i="24"/>
  <c r="AP29" i="24"/>
  <c r="AR52" i="24"/>
  <c r="AS46" i="24"/>
  <c r="AP31" i="24"/>
  <c r="AO31" i="24"/>
  <c r="AQ29" i="24" l="1"/>
  <c r="AQ16" i="24" s="1"/>
  <c r="AR27" i="24"/>
  <c r="AP16" i="24"/>
  <c r="AT49" i="24"/>
  <c r="AS51" i="24"/>
  <c r="AT45" i="24"/>
  <c r="AT46" i="24"/>
  <c r="AS52" i="24"/>
  <c r="AT44" i="24"/>
  <c r="AO11" i="24"/>
  <c r="AO26" i="24"/>
  <c r="AO15" i="24" s="1"/>
  <c r="AP32" i="24"/>
  <c r="AP14" i="24" s="1"/>
  <c r="AS48" i="24"/>
  <c r="AP30" i="24" l="1"/>
  <c r="AP26" i="24" s="1"/>
  <c r="AP15" i="24" s="1"/>
  <c r="AR29" i="24"/>
  <c r="AR16" i="24" s="1"/>
  <c r="AT37" i="24" a="1"/>
  <c r="AT37" i="24" s="1"/>
  <c r="AU46" i="24"/>
  <c r="AT52" i="24"/>
  <c r="AT51" i="24"/>
  <c r="AU49" i="24"/>
  <c r="AU45" i="24"/>
  <c r="AT48" i="24"/>
  <c r="AS27" i="24"/>
  <c r="AS28" i="24"/>
  <c r="AU44" i="24"/>
  <c r="AQ30" i="24" l="1"/>
  <c r="AP11" i="24"/>
  <c r="AQ32" i="24"/>
  <c r="AQ14" i="24" s="1"/>
  <c r="AR32" i="24"/>
  <c r="AR14" i="24" s="1"/>
  <c r="AU37" i="24" a="1"/>
  <c r="AU37" i="24" s="1"/>
  <c r="AV45" i="24"/>
  <c r="AV46" i="24"/>
  <c r="AU52" i="24"/>
  <c r="AU48" i="24"/>
  <c r="AR31" i="24"/>
  <c r="AT28" i="24"/>
  <c r="AS31" i="24" s="1"/>
  <c r="AT27" i="24"/>
  <c r="AU51" i="24"/>
  <c r="AV49" i="24"/>
  <c r="AV48" i="24" s="1"/>
  <c r="AS29" i="24"/>
  <c r="AS16" i="24" s="1"/>
  <c r="AV44" i="24"/>
  <c r="AR30" i="24" l="1"/>
  <c r="AR11" i="24" s="1"/>
  <c r="AQ11" i="24"/>
  <c r="AQ26" i="24"/>
  <c r="AQ15" i="24" s="1"/>
  <c r="AV37" i="24" a="1"/>
  <c r="AV37" i="24" s="1"/>
  <c r="AV27" i="24" s="1"/>
  <c r="AU27" i="24"/>
  <c r="AU28" i="24"/>
  <c r="AT31" i="24" s="1"/>
  <c r="AV28" i="24"/>
  <c r="AV51" i="24"/>
  <c r="AW49" i="24"/>
  <c r="AW48" i="24" s="1"/>
  <c r="AW45" i="24"/>
  <c r="AW44" i="24"/>
  <c r="AT29" i="24"/>
  <c r="AT16" i="24" s="1"/>
  <c r="AW46" i="24"/>
  <c r="AV52" i="24"/>
  <c r="AS30" i="24" l="1"/>
  <c r="AU30" i="24"/>
  <c r="AR26" i="24"/>
  <c r="AR15" i="24" s="1"/>
  <c r="AS32" i="24"/>
  <c r="AS14" i="24" s="1"/>
  <c r="AW37" i="24" a="1"/>
  <c r="AW37" i="24" s="1"/>
  <c r="AW27" i="24" s="1"/>
  <c r="AX49" i="24"/>
  <c r="AX37" i="24" s="1" a="1"/>
  <c r="AX37" i="24" s="1"/>
  <c r="AW51" i="24"/>
  <c r="AW28" i="24"/>
  <c r="AV31" i="24" s="1"/>
  <c r="AV29" i="24"/>
  <c r="AV16" i="24" s="1"/>
  <c r="AU31" i="24"/>
  <c r="AU29" i="24"/>
  <c r="AU16" i="24" s="1"/>
  <c r="AX44" i="24"/>
  <c r="AW52" i="24"/>
  <c r="AX46" i="24"/>
  <c r="AX45" i="24"/>
  <c r="AT30" i="24" l="1"/>
  <c r="AT11" i="24" s="1"/>
  <c r="AU26" i="24"/>
  <c r="AU15" i="24" s="1"/>
  <c r="AS11" i="24"/>
  <c r="AT32" i="24"/>
  <c r="AT14" i="24" s="1"/>
  <c r="AS26" i="24"/>
  <c r="AS15" i="24" s="1"/>
  <c r="AY44" i="24"/>
  <c r="AX52" i="24"/>
  <c r="AY46" i="24"/>
  <c r="AW29" i="24"/>
  <c r="AW16" i="24" s="1"/>
  <c r="AY45" i="24"/>
  <c r="AY49" i="24"/>
  <c r="AX51" i="24"/>
  <c r="AX48" i="24"/>
  <c r="AV30" i="24" l="1"/>
  <c r="AW32" i="24" s="1"/>
  <c r="AW14" i="24" s="1"/>
  <c r="AU32" i="24"/>
  <c r="AU14" i="24" s="1"/>
  <c r="AT26" i="24"/>
  <c r="AT15" i="24" s="1"/>
  <c r="AV32" i="24"/>
  <c r="AV14" i="24" s="1"/>
  <c r="AU11" i="24"/>
  <c r="AY52" i="24"/>
  <c r="AZ46" i="24"/>
  <c r="AY48" i="24"/>
  <c r="AZ44" i="24"/>
  <c r="AY51" i="24"/>
  <c r="AZ49" i="24"/>
  <c r="AZ37" i="24" s="1" a="1"/>
  <c r="AZ37" i="24" s="1"/>
  <c r="AZ45" i="24"/>
  <c r="AX28" i="24"/>
  <c r="AX27" i="24"/>
  <c r="AY37" i="24" a="1"/>
  <c r="AY37" i="24" s="1"/>
  <c r="AV26" i="24" l="1"/>
  <c r="AV15" i="24" s="1"/>
  <c r="AV11" i="24"/>
  <c r="AW31" i="24"/>
  <c r="BA49" i="24"/>
  <c r="AZ51" i="24"/>
  <c r="BA46" i="24"/>
  <c r="AZ52" i="24"/>
  <c r="AY28" i="24"/>
  <c r="AY27" i="24"/>
  <c r="BA45" i="24"/>
  <c r="BA44" i="24"/>
  <c r="AZ48" i="24"/>
  <c r="AX29" i="24"/>
  <c r="AX16" i="24" s="1"/>
  <c r="AW30" i="24" l="1"/>
  <c r="AW11" i="24" s="1"/>
  <c r="BA51" i="24"/>
  <c r="BB49" i="24"/>
  <c r="BB48" i="24" s="1"/>
  <c r="BB44" i="24"/>
  <c r="AZ28" i="24"/>
  <c r="AY31" i="24" s="1"/>
  <c r="AZ27" i="24"/>
  <c r="BB45" i="24"/>
  <c r="BA37" i="24" a="1"/>
  <c r="BA37" i="24" s="1"/>
  <c r="BA48" i="24"/>
  <c r="BB46" i="24"/>
  <c r="BA52" i="24"/>
  <c r="AY29" i="24"/>
  <c r="AY16" i="24" s="1"/>
  <c r="AX31" i="24"/>
  <c r="AX30" i="24" l="1"/>
  <c r="AX26" i="24" s="1"/>
  <c r="AX15" i="24" s="1"/>
  <c r="AW26" i="24"/>
  <c r="AW15" i="24" s="1"/>
  <c r="AX32" i="24"/>
  <c r="AX14" i="24" s="1"/>
  <c r="BC46" i="24"/>
  <c r="BB52" i="24"/>
  <c r="AZ29" i="24"/>
  <c r="AZ16" i="24" s="1"/>
  <c r="BA28" i="24"/>
  <c r="AZ31" i="24" s="1"/>
  <c r="BA27" i="24"/>
  <c r="BB51" i="24"/>
  <c r="BC49" i="24"/>
  <c r="BC48" i="24" s="1"/>
  <c r="BC44" i="24"/>
  <c r="BB28" i="24"/>
  <c r="BC45" i="24"/>
  <c r="BB37" i="24" a="1"/>
  <c r="BB37" i="24" s="1"/>
  <c r="BB27" i="24" s="1"/>
  <c r="AY30" i="24" l="1"/>
  <c r="BA30" i="24"/>
  <c r="AX11" i="24"/>
  <c r="AY32" i="24"/>
  <c r="AY14" i="24" s="1"/>
  <c r="BB29" i="24"/>
  <c r="BB16" i="24" s="1"/>
  <c r="BC28" i="24"/>
  <c r="BB31" i="24" s="1"/>
  <c r="BC51" i="24"/>
  <c r="BD49" i="24"/>
  <c r="BD46" i="24"/>
  <c r="BC52" i="24"/>
  <c r="BA29" i="24"/>
  <c r="BA16" i="24" s="1"/>
  <c r="BD45" i="24"/>
  <c r="BC37" i="24" a="1"/>
  <c r="BC37" i="24" s="1"/>
  <c r="BC27" i="24" s="1"/>
  <c r="BA31" i="24"/>
  <c r="BD44" i="24"/>
  <c r="AZ30" i="24" l="1"/>
  <c r="BA26" i="24"/>
  <c r="BA15" i="24" s="1"/>
  <c r="AY11" i="24"/>
  <c r="AZ32" i="24"/>
  <c r="AZ14" i="24" s="1"/>
  <c r="AY26" i="24"/>
  <c r="AY15" i="24" s="1"/>
  <c r="BC29" i="24"/>
  <c r="BC16" i="24" s="1"/>
  <c r="BE44" i="24"/>
  <c r="BE45" i="24"/>
  <c r="BD37" i="24" a="1"/>
  <c r="BD37" i="24" s="1"/>
  <c r="BE46" i="24"/>
  <c r="BD52" i="24"/>
  <c r="BE49" i="24"/>
  <c r="BE48" i="24" s="1"/>
  <c r="BD51" i="24"/>
  <c r="BD48" i="24"/>
  <c r="BB30" i="24" l="1"/>
  <c r="BB32" i="24"/>
  <c r="BB14" i="24" s="1"/>
  <c r="BA11" i="24"/>
  <c r="BB11" i="24"/>
  <c r="BA32" i="24"/>
  <c r="BA14" i="24" s="1"/>
  <c r="AZ11" i="24"/>
  <c r="AZ26" i="24"/>
  <c r="AZ15" i="24" s="1"/>
  <c r="BE28" i="24"/>
  <c r="BD28" i="24"/>
  <c r="BD27" i="24"/>
  <c r="BF49" i="24"/>
  <c r="BE51" i="24"/>
  <c r="BF45" i="24"/>
  <c r="BE37" i="24" a="1"/>
  <c r="BE37" i="24" s="1"/>
  <c r="BE27" i="24" s="1"/>
  <c r="BF46" i="24"/>
  <c r="BE52" i="24"/>
  <c r="BF44" i="24"/>
  <c r="BC32" i="24" l="1"/>
  <c r="BC14" i="24" s="1"/>
  <c r="BB26" i="24"/>
  <c r="BB15" i="24" s="1"/>
  <c r="BE29" i="24"/>
  <c r="BE16" i="24" s="1"/>
  <c r="BF51" i="24"/>
  <c r="BG49" i="24"/>
  <c r="BG37" i="24" s="1" a="1"/>
  <c r="BG37" i="24" s="1"/>
  <c r="BG45" i="24"/>
  <c r="BG52" i="24" s="1"/>
  <c r="BF37" i="24" a="1"/>
  <c r="BF37" i="24" s="1"/>
  <c r="BG46" i="24"/>
  <c r="BF52" i="24"/>
  <c r="BF48" i="24"/>
  <c r="BD29" i="24"/>
  <c r="BD16" i="24" s="1"/>
  <c r="BG44" i="24"/>
  <c r="BG51" i="24" s="1"/>
  <c r="BD31" i="24"/>
  <c r="BC31" i="24"/>
  <c r="BD30" i="24" l="1"/>
  <c r="BD26" i="24" s="1"/>
  <c r="BD15" i="24" s="1"/>
  <c r="BC30" i="24"/>
  <c r="BD32" i="24" s="1"/>
  <c r="BD14" i="24" s="1"/>
  <c r="BG48" i="24"/>
  <c r="BG28" i="24" s="1"/>
  <c r="BF27" i="24"/>
  <c r="BF28" i="24"/>
  <c r="BE30" i="24" l="1"/>
  <c r="G28" i="24"/>
  <c r="BE32" i="24"/>
  <c r="BE14" i="24" s="1"/>
  <c r="BD11" i="24"/>
  <c r="BC26" i="24"/>
  <c r="BC15" i="24" s="1"/>
  <c r="BC11" i="24"/>
  <c r="BG27" i="24"/>
  <c r="BG30" i="24" s="1"/>
  <c r="BF29" i="24"/>
  <c r="BF16" i="24" s="1"/>
  <c r="BF31" i="24"/>
  <c r="BE31" i="24"/>
  <c r="BG31" i="24"/>
  <c r="B28" i="24"/>
  <c r="BF30" i="24" l="1"/>
  <c r="G31" i="24"/>
  <c r="B27" i="24"/>
  <c r="BG29" i="24"/>
  <c r="G29" i="24" s="1"/>
  <c r="G27" i="24"/>
  <c r="H11" i="24" s="1"/>
  <c r="BE11" i="24"/>
  <c r="BF32" i="24"/>
  <c r="BF14" i="24" s="1"/>
  <c r="BE26" i="24"/>
  <c r="BE15" i="24" s="1"/>
  <c r="E31" i="24"/>
  <c r="F31" i="24"/>
  <c r="D31" i="24"/>
  <c r="C31" i="24"/>
  <c r="B67" i="34" l="1"/>
  <c r="P4" i="24"/>
  <c r="BF26" i="24"/>
  <c r="BF15" i="24" s="1"/>
  <c r="B53" i="34"/>
  <c r="P5" i="24"/>
  <c r="O26" i="4"/>
  <c r="Q26" i="4" s="1"/>
  <c r="D30" i="24"/>
  <c r="O28" i="4" s="1"/>
  <c r="Q28" i="4" s="1"/>
  <c r="C30" i="24"/>
  <c r="BG11" i="24"/>
  <c r="BG26" i="24"/>
  <c r="BG15" i="24" s="1"/>
  <c r="BG16" i="24"/>
  <c r="BF11" i="24" l="1"/>
  <c r="BG32" i="24"/>
  <c r="BG14" i="24" s="1"/>
  <c r="B54" i="34"/>
  <c r="AA14" i="15"/>
  <c r="AA15" i="15" s="1"/>
  <c r="B30" i="24"/>
  <c r="F30" i="24"/>
  <c r="O27" i="4"/>
  <c r="Q27" i="4" s="1"/>
  <c r="E30" i="24"/>
  <c r="G30" i="24"/>
  <c r="P6" i="24" s="1"/>
  <c r="I32" i="24"/>
  <c r="I14" i="24" s="1"/>
  <c r="H26" i="24"/>
  <c r="H15" i="24" s="1"/>
  <c r="Q22" i="4"/>
  <c r="B55" i="34" l="1"/>
  <c r="B25" i="34" s="1"/>
  <c r="C25" i="34" s="1"/>
  <c r="F25" i="34" s="1"/>
  <c r="F26" i="34" s="1"/>
  <c r="Q6" i="4" s="1"/>
  <c r="B68" i="34"/>
  <c r="Q23" i="4"/>
  <c r="Q24" i="4" s="1"/>
  <c r="O29" i="4"/>
  <c r="Q29" i="4" s="1"/>
  <c r="Q30" i="4" s="1"/>
  <c r="H32" i="24"/>
  <c r="G32" i="24" s="1"/>
  <c r="G26" i="24"/>
  <c r="B16" i="34" l="1"/>
  <c r="C7" i="34" s="1"/>
  <c r="G7" i="34" s="1"/>
  <c r="B59" i="34"/>
  <c r="B60" i="34" s="1"/>
  <c r="G11" i="38" s="1"/>
  <c r="Q31" i="4"/>
  <c r="G10" i="4" s="1"/>
  <c r="F9" i="3" s="1"/>
  <c r="H14" i="24"/>
  <c r="G16" i="39" l="1"/>
  <c r="G13" i="38"/>
  <c r="H13" i="38" s="1"/>
  <c r="I13" i="38" s="1"/>
  <c r="J13" i="38" s="1"/>
  <c r="K13" i="38" s="1"/>
  <c r="L13" i="38" s="1"/>
  <c r="M13" i="38" s="1"/>
  <c r="N13" i="38" s="1"/>
  <c r="O13" i="38" s="1"/>
  <c r="P13" i="38" s="1"/>
  <c r="Q13" i="38" s="1"/>
  <c r="R13" i="38" s="1"/>
  <c r="S13" i="38" s="1"/>
  <c r="T13" i="38" s="1"/>
  <c r="U13" i="38" s="1"/>
  <c r="V13" i="38" s="1"/>
  <c r="W13" i="38" s="1"/>
  <c r="X13" i="38" s="1"/>
  <c r="G24" i="39"/>
  <c r="Z24" i="39"/>
  <c r="X24" i="39"/>
  <c r="AA24" i="39"/>
  <c r="W24" i="39"/>
  <c r="Y24" i="39"/>
  <c r="I24" i="39"/>
  <c r="J24" i="39"/>
  <c r="R24" i="39"/>
  <c r="K24" i="39"/>
  <c r="S24" i="39"/>
  <c r="L24" i="39"/>
  <c r="T24" i="39"/>
  <c r="Q24" i="39"/>
  <c r="M24" i="39"/>
  <c r="U24" i="39"/>
  <c r="N24" i="39"/>
  <c r="V24" i="39"/>
  <c r="O24" i="39"/>
  <c r="P24" i="39"/>
  <c r="M11" i="38"/>
  <c r="V11" i="38"/>
  <c r="Y11" i="38"/>
  <c r="Z11" i="38"/>
  <c r="X11" i="38"/>
  <c r="W11" i="38"/>
  <c r="H11" i="38"/>
  <c r="P11" i="38"/>
  <c r="I11" i="38"/>
  <c r="Q11" i="38"/>
  <c r="J11" i="38"/>
  <c r="R11" i="38"/>
  <c r="K11" i="38"/>
  <c r="S11" i="38"/>
  <c r="L11" i="38"/>
  <c r="T11" i="38"/>
  <c r="U11" i="38"/>
  <c r="N11" i="38"/>
  <c r="O11" i="38"/>
  <c r="G12" i="15"/>
  <c r="O5" i="4"/>
  <c r="Q5" i="4" s="1"/>
  <c r="Q9" i="4" s="1"/>
  <c r="D7" i="34"/>
  <c r="F7" i="34" s="1"/>
  <c r="H7" i="34" s="1"/>
  <c r="H8" i="34" s="1"/>
  <c r="B70" i="34" s="1"/>
  <c r="P12" i="15"/>
  <c r="H12" i="15"/>
  <c r="X12" i="15"/>
  <c r="W12" i="15"/>
  <c r="I12" i="15"/>
  <c r="Q12" i="15"/>
  <c r="Y12" i="15"/>
  <c r="U12" i="15"/>
  <c r="J12" i="15"/>
  <c r="R12" i="15"/>
  <c r="Z12" i="15"/>
  <c r="K12" i="15"/>
  <c r="S12" i="15"/>
  <c r="L12" i="15"/>
  <c r="T12" i="15"/>
  <c r="M12" i="15"/>
  <c r="N12" i="15"/>
  <c r="V12" i="15"/>
  <c r="O12" i="15"/>
  <c r="U17" i="31"/>
  <c r="T17" i="31"/>
  <c r="P17" i="14"/>
  <c r="J16" i="17"/>
  <c r="U16" i="17"/>
  <c r="T16" i="17"/>
  <c r="L17" i="31"/>
  <c r="V17" i="14"/>
  <c r="O17" i="14"/>
  <c r="N17" i="14"/>
  <c r="M17" i="14"/>
  <c r="M16" i="17"/>
  <c r="Q17" i="14"/>
  <c r="I17" i="31"/>
  <c r="X17" i="14"/>
  <c r="Q16" i="17"/>
  <c r="S16" i="17"/>
  <c r="R17" i="14"/>
  <c r="V17" i="31"/>
  <c r="S17" i="14"/>
  <c r="I17" i="14"/>
  <c r="M17" i="31"/>
  <c r="S17" i="31"/>
  <c r="W16" i="17"/>
  <c r="P16" i="17"/>
  <c r="R16" i="17"/>
  <c r="V16" i="17"/>
  <c r="W17" i="31"/>
  <c r="K17" i="31"/>
  <c r="U17" i="14"/>
  <c r="J17" i="14"/>
  <c r="P17" i="31"/>
  <c r="J17" i="31"/>
  <c r="K17" i="14"/>
  <c r="T17" i="14"/>
  <c r="L17" i="14"/>
  <c r="W17" i="14"/>
  <c r="Q17" i="31"/>
  <c r="N16" i="17"/>
  <c r="I16" i="17"/>
  <c r="L16" i="17"/>
  <c r="O16" i="17"/>
  <c r="K16" i="17"/>
  <c r="N17" i="31"/>
  <c r="R17" i="31"/>
  <c r="Z17" i="31"/>
  <c r="Y17" i="31"/>
  <c r="AB17" i="31"/>
  <c r="AA17" i="31"/>
  <c r="X17" i="31"/>
  <c r="G17" i="31"/>
  <c r="H17" i="31" s="1"/>
  <c r="O17" i="31"/>
  <c r="H16" i="39" l="1"/>
  <c r="I16" i="39"/>
  <c r="J16" i="39" s="1"/>
  <c r="K16" i="39" s="1"/>
  <c r="L16" i="39" s="1"/>
  <c r="M16" i="39" s="1"/>
  <c r="N16" i="39" s="1"/>
  <c r="O16" i="39" s="1"/>
  <c r="P16" i="39" s="1"/>
  <c r="Q16" i="39" s="1"/>
  <c r="R16" i="39" s="1"/>
  <c r="S16" i="39" s="1"/>
  <c r="T16" i="39" s="1"/>
  <c r="U16" i="39" s="1"/>
  <c r="V16" i="39" s="1"/>
  <c r="W16" i="39" s="1"/>
  <c r="X16" i="39" s="1"/>
  <c r="Y16" i="39" s="1"/>
  <c r="Z16" i="39" s="1"/>
  <c r="AA16" i="39" s="1"/>
  <c r="R5" i="24"/>
  <c r="C17" i="38" s="1"/>
  <c r="Y13" i="38"/>
  <c r="Z13" i="38" s="1"/>
  <c r="D8" i="34"/>
  <c r="G8" i="4"/>
  <c r="Q10" i="4"/>
  <c r="R4" i="24"/>
  <c r="C16" i="38" l="1"/>
  <c r="C18" i="38" s="1"/>
  <c r="C17" i="39"/>
  <c r="C17" i="15"/>
  <c r="C17" i="31"/>
  <c r="F7" i="3"/>
  <c r="W23" i="31"/>
  <c r="X23" i="31"/>
  <c r="Y23" i="31"/>
  <c r="Z23" i="31"/>
  <c r="AA23" i="31"/>
  <c r="Y4" i="24"/>
  <c r="G10" i="38" l="1"/>
  <c r="H10" i="38" s="1"/>
  <c r="I10" i="38" s="1"/>
  <c r="J10" i="38" s="1"/>
  <c r="K10" i="38" s="1"/>
  <c r="L10" i="38" s="1"/>
  <c r="M10" i="38" s="1"/>
  <c r="N10" i="38" s="1"/>
  <c r="O10" i="38" s="1"/>
  <c r="P10" i="38" s="1"/>
  <c r="Q10" i="38" s="1"/>
  <c r="R10" i="38" s="1"/>
  <c r="S10" i="38" s="1"/>
  <c r="T10" i="38" s="1"/>
  <c r="U10" i="38" s="1"/>
  <c r="V10" i="38" s="1"/>
  <c r="W10" i="38" s="1"/>
  <c r="X10" i="38" s="1"/>
  <c r="Y10" i="38" s="1"/>
  <c r="Z10" i="38" s="1"/>
  <c r="G23" i="39"/>
  <c r="G25" i="39" s="1"/>
  <c r="C16" i="39"/>
  <c r="C18" i="39" s="1"/>
  <c r="H24" i="39"/>
  <c r="C16" i="15"/>
  <c r="I23" i="31"/>
  <c r="Q10" i="15"/>
  <c r="L24" i="14"/>
  <c r="L26" i="14" s="1"/>
  <c r="N23" i="31"/>
  <c r="V24" i="14"/>
  <c r="V26" i="14" s="1"/>
  <c r="Q23" i="31"/>
  <c r="P10" i="15"/>
  <c r="C16" i="31"/>
  <c r="C18" i="31" s="1"/>
  <c r="M24" i="14"/>
  <c r="M26" i="14" s="1"/>
  <c r="H10" i="15"/>
  <c r="J22" i="17"/>
  <c r="S24" i="14"/>
  <c r="S26" i="14" s="1"/>
  <c r="O10" i="15"/>
  <c r="S10" i="15"/>
  <c r="Z10" i="15"/>
  <c r="O23" i="31"/>
  <c r="W24" i="14"/>
  <c r="W26" i="14" s="1"/>
  <c r="O22" i="17"/>
  <c r="S23" i="31"/>
  <c r="G10" i="15"/>
  <c r="M22" i="17"/>
  <c r="L10" i="15"/>
  <c r="J23" i="31"/>
  <c r="N10" i="15"/>
  <c r="K10" i="15"/>
  <c r="X10" i="15"/>
  <c r="V23" i="31"/>
  <c r="R22" i="17"/>
  <c r="O24" i="14"/>
  <c r="O26" i="14" s="1"/>
  <c r="I10" i="15"/>
  <c r="U23" i="31"/>
  <c r="P23" i="31"/>
  <c r="U10" i="15"/>
  <c r="R10" i="15"/>
  <c r="Y10" i="15"/>
  <c r="Q24" i="14"/>
  <c r="Q26" i="14" s="1"/>
  <c r="P22" i="17"/>
  <c r="P24" i="14"/>
  <c r="P26" i="14" s="1"/>
  <c r="X24" i="14"/>
  <c r="X26" i="14" s="1"/>
  <c r="T10" i="15"/>
  <c r="M23" i="31"/>
  <c r="V10" i="15"/>
  <c r="K23" i="31"/>
  <c r="M10" i="15"/>
  <c r="J10" i="15"/>
  <c r="W10" i="15"/>
  <c r="T23" i="31"/>
  <c r="N24" i="14"/>
  <c r="N26" i="14" s="1"/>
  <c r="S22" i="17"/>
  <c r="N22" i="17"/>
  <c r="L22" i="17"/>
  <c r="K24" i="14"/>
  <c r="K26" i="14" s="1"/>
  <c r="T24" i="14"/>
  <c r="T26" i="14" s="1"/>
  <c r="T22" i="17"/>
  <c r="Q22" i="17"/>
  <c r="R24" i="14"/>
  <c r="R26" i="14" s="1"/>
  <c r="I24" i="14"/>
  <c r="I26" i="14" s="1"/>
  <c r="K22" i="17"/>
  <c r="I22" i="17"/>
  <c r="J24" i="14"/>
  <c r="J26" i="14" s="1"/>
  <c r="G23" i="31"/>
  <c r="H23" i="31" s="1"/>
  <c r="R23" i="31"/>
  <c r="V22" i="17"/>
  <c r="W22" i="17"/>
  <c r="U22" i="17"/>
  <c r="U24" i="14"/>
  <c r="U26" i="14" s="1"/>
  <c r="L23" i="31"/>
  <c r="G11" i="4"/>
  <c r="G13" i="4" s="1"/>
  <c r="R6" i="24"/>
  <c r="I19" i="3"/>
  <c r="I21" i="3" s="1"/>
  <c r="G7" i="38" s="1"/>
  <c r="AB8" i="31"/>
  <c r="I23" i="39" l="1"/>
  <c r="H23" i="39"/>
  <c r="H25" i="39" s="1"/>
  <c r="G14" i="39"/>
  <c r="G9" i="39" s="1"/>
  <c r="Z14" i="39"/>
  <c r="Z9" i="39" s="1"/>
  <c r="X14" i="39"/>
  <c r="X9" i="39" s="1"/>
  <c r="Y14" i="39"/>
  <c r="Y9" i="39" s="1"/>
  <c r="AA14" i="39"/>
  <c r="AA9" i="39" s="1"/>
  <c r="W14" i="39"/>
  <c r="W9" i="39" s="1"/>
  <c r="G13" i="39"/>
  <c r="H7" i="38"/>
  <c r="I7" i="38" s="1"/>
  <c r="J7" i="38" s="1"/>
  <c r="K7" i="38" s="1"/>
  <c r="L7" i="38" s="1"/>
  <c r="M7" i="38" s="1"/>
  <c r="N7" i="38" s="1"/>
  <c r="O7" i="38" s="1"/>
  <c r="P7" i="38" s="1"/>
  <c r="Q7" i="38" s="1"/>
  <c r="R7" i="38" s="1"/>
  <c r="S7" i="38" s="1"/>
  <c r="T7" i="38" s="1"/>
  <c r="U7" i="38" s="1"/>
  <c r="V7" i="38" s="1"/>
  <c r="W7" i="38" s="1"/>
  <c r="X7" i="38" s="1"/>
  <c r="Y7" i="38" s="1"/>
  <c r="Z7" i="38" s="1"/>
  <c r="V14" i="39"/>
  <c r="V9" i="39" s="1"/>
  <c r="Q14" i="39"/>
  <c r="Q9" i="39" s="1"/>
  <c r="T14" i="39"/>
  <c r="T9" i="39" s="1"/>
  <c r="L14" i="39"/>
  <c r="L9" i="39" s="1"/>
  <c r="I14" i="39"/>
  <c r="I9" i="39" s="1"/>
  <c r="R14" i="39"/>
  <c r="R9" i="39" s="1"/>
  <c r="J14" i="39"/>
  <c r="J9" i="39" s="1"/>
  <c r="O14" i="39"/>
  <c r="O9" i="39" s="1"/>
  <c r="N14" i="39"/>
  <c r="N9" i="39" s="1"/>
  <c r="M14" i="39"/>
  <c r="M9" i="39" s="1"/>
  <c r="U14" i="39"/>
  <c r="U9" i="39" s="1"/>
  <c r="K14" i="39"/>
  <c r="K9" i="39" s="1"/>
  <c r="P14" i="39"/>
  <c r="P9" i="39" s="1"/>
  <c r="S14" i="39"/>
  <c r="S9" i="39" s="1"/>
  <c r="G7" i="15"/>
  <c r="I13" i="31"/>
  <c r="F11" i="3"/>
  <c r="Y15" i="31"/>
  <c r="Y9" i="31" s="1"/>
  <c r="AA15" i="31"/>
  <c r="AA9" i="31" s="1"/>
  <c r="X15" i="31"/>
  <c r="X9" i="31" s="1"/>
  <c r="Z15" i="31"/>
  <c r="Z9" i="31" s="1"/>
  <c r="I15" i="31"/>
  <c r="I9" i="31" s="1"/>
  <c r="Q15" i="31"/>
  <c r="Q9" i="31" s="1"/>
  <c r="J15" i="31"/>
  <c r="J9" i="31" s="1"/>
  <c r="R15" i="31"/>
  <c r="R9" i="31" s="1"/>
  <c r="K15" i="31"/>
  <c r="K9" i="31" s="1"/>
  <c r="S15" i="31"/>
  <c r="S9" i="31" s="1"/>
  <c r="L15" i="31"/>
  <c r="L9" i="31" s="1"/>
  <c r="T15" i="31"/>
  <c r="T9" i="31" s="1"/>
  <c r="M15" i="31"/>
  <c r="M9" i="31" s="1"/>
  <c r="U15" i="31"/>
  <c r="U9" i="31" s="1"/>
  <c r="N15" i="31"/>
  <c r="N9" i="31" s="1"/>
  <c r="V15" i="31"/>
  <c r="V9" i="31" s="1"/>
  <c r="O15" i="31"/>
  <c r="O9" i="31" s="1"/>
  <c r="W15" i="31"/>
  <c r="W9" i="31" s="1"/>
  <c r="P15" i="31"/>
  <c r="P9" i="31" s="1"/>
  <c r="G15" i="31"/>
  <c r="H15" i="31" s="1"/>
  <c r="X13" i="31"/>
  <c r="AB13" i="31"/>
  <c r="Y13" i="31"/>
  <c r="Z13" i="31"/>
  <c r="AA13" i="31"/>
  <c r="X7" i="15"/>
  <c r="Y7" i="15"/>
  <c r="W7" i="15"/>
  <c r="V7" i="15"/>
  <c r="Z7" i="15"/>
  <c r="G13" i="31"/>
  <c r="H13" i="31" s="1"/>
  <c r="I7" i="15"/>
  <c r="T14" i="14"/>
  <c r="J15" i="14"/>
  <c r="X14" i="14"/>
  <c r="Q13" i="31"/>
  <c r="N15" i="14"/>
  <c r="L14" i="17"/>
  <c r="L19" i="17" s="1"/>
  <c r="R14" i="14"/>
  <c r="K14" i="17"/>
  <c r="K19" i="17" s="1"/>
  <c r="W14" i="17"/>
  <c r="W19" i="17" s="1"/>
  <c r="P15" i="14"/>
  <c r="M15" i="14"/>
  <c r="M13" i="31"/>
  <c r="H7" i="15"/>
  <c r="U15" i="14"/>
  <c r="U7" i="15"/>
  <c r="O13" i="31"/>
  <c r="L7" i="15"/>
  <c r="O14" i="14"/>
  <c r="R14" i="17"/>
  <c r="R19" i="17" s="1"/>
  <c r="T14" i="17"/>
  <c r="T19" i="17" s="1"/>
  <c r="R15" i="14"/>
  <c r="R13" i="31"/>
  <c r="M14" i="14"/>
  <c r="U14" i="17"/>
  <c r="U19" i="17" s="1"/>
  <c r="T13" i="31"/>
  <c r="I14" i="17"/>
  <c r="I19" i="17" s="1"/>
  <c r="S13" i="31"/>
  <c r="L15" i="14"/>
  <c r="K7" i="15"/>
  <c r="J14" i="14"/>
  <c r="S15" i="14"/>
  <c r="S14" i="14"/>
  <c r="W13" i="31"/>
  <c r="V13" i="31"/>
  <c r="K14" i="14"/>
  <c r="V15" i="14"/>
  <c r="U13" i="31"/>
  <c r="K13" i="31"/>
  <c r="I14" i="14"/>
  <c r="N7" i="15"/>
  <c r="W15" i="14"/>
  <c r="I15" i="14"/>
  <c r="Q14" i="14"/>
  <c r="N14" i="14"/>
  <c r="Q15" i="14"/>
  <c r="M14" i="17"/>
  <c r="M19" i="17" s="1"/>
  <c r="J14" i="17"/>
  <c r="J19" i="17" s="1"/>
  <c r="T7" i="15"/>
  <c r="O15" i="14"/>
  <c r="P14" i="14"/>
  <c r="C38" i="14"/>
  <c r="O14" i="17"/>
  <c r="O19" i="17" s="1"/>
  <c r="P14" i="17"/>
  <c r="P19" i="17" s="1"/>
  <c r="N13" i="31"/>
  <c r="J13" i="31"/>
  <c r="Q7" i="15"/>
  <c r="L13" i="31"/>
  <c r="S7" i="15"/>
  <c r="U14" i="14"/>
  <c r="K15" i="14"/>
  <c r="W14" i="14"/>
  <c r="T15" i="14"/>
  <c r="L14" i="14"/>
  <c r="M7" i="15"/>
  <c r="V14" i="17"/>
  <c r="V19" i="17" s="1"/>
  <c r="S14" i="17"/>
  <c r="S19" i="17" s="1"/>
  <c r="R7" i="15"/>
  <c r="P7" i="15"/>
  <c r="J7" i="15"/>
  <c r="Q14" i="17"/>
  <c r="Q19" i="17" s="1"/>
  <c r="O7" i="15"/>
  <c r="X15" i="14"/>
  <c r="V14" i="14"/>
  <c r="N14" i="17"/>
  <c r="N19" i="17" s="1"/>
  <c r="P13" i="31"/>
  <c r="I13" i="39" l="1"/>
  <c r="J13" i="39" s="1"/>
  <c r="K13" i="39" s="1"/>
  <c r="L13" i="39" s="1"/>
  <c r="M13" i="39" s="1"/>
  <c r="N13" i="39" s="1"/>
  <c r="O13" i="39" s="1"/>
  <c r="P13" i="39" s="1"/>
  <c r="Q13" i="39" s="1"/>
  <c r="R13" i="39" s="1"/>
  <c r="S13" i="39" s="1"/>
  <c r="T13" i="39" s="1"/>
  <c r="U13" i="39" s="1"/>
  <c r="V13" i="39" s="1"/>
  <c r="W13" i="39" s="1"/>
  <c r="X13" i="39" s="1"/>
  <c r="Y13" i="39" s="1"/>
  <c r="Z13" i="39" s="1"/>
  <c r="AA13" i="39" s="1"/>
  <c r="AA17" i="39" s="1"/>
  <c r="H13" i="39"/>
  <c r="J23" i="39"/>
  <c r="I25" i="39"/>
  <c r="G8" i="39"/>
  <c r="G8" i="38"/>
  <c r="H8" i="38" s="1"/>
  <c r="G17" i="39"/>
  <c r="H17" i="39" s="1"/>
  <c r="I8" i="31"/>
  <c r="I10" i="31" s="1"/>
  <c r="H9" i="39"/>
  <c r="H14" i="39"/>
  <c r="G8" i="15"/>
  <c r="Y8" i="15"/>
  <c r="Y14" i="15" s="1"/>
  <c r="Y15" i="15" s="1"/>
  <c r="I9" i="14"/>
  <c r="I11" i="14" s="1"/>
  <c r="V8" i="15"/>
  <c r="V14" i="15" s="1"/>
  <c r="V15" i="15" s="1"/>
  <c r="Z8" i="15"/>
  <c r="Z14" i="15" s="1"/>
  <c r="Z15" i="15" s="1"/>
  <c r="X8" i="15"/>
  <c r="X14" i="15" s="1"/>
  <c r="X15" i="15" s="1"/>
  <c r="F12" i="3"/>
  <c r="Z8" i="31"/>
  <c r="M8" i="15"/>
  <c r="M14" i="15" s="1"/>
  <c r="M15" i="15" s="1"/>
  <c r="W8" i="31"/>
  <c r="W8" i="15"/>
  <c r="W14" i="15" s="1"/>
  <c r="W15" i="15" s="1"/>
  <c r="X8" i="31"/>
  <c r="AA8" i="31"/>
  <c r="Y8" i="31"/>
  <c r="W10" i="17"/>
  <c r="W11" i="17" s="1"/>
  <c r="W20" i="17" s="1"/>
  <c r="W24" i="17" s="1"/>
  <c r="W28" i="17" s="1"/>
  <c r="Q10" i="17"/>
  <c r="Q11" i="17" s="1"/>
  <c r="Q20" i="17" s="1"/>
  <c r="Q24" i="17" s="1"/>
  <c r="Q28" i="17" s="1"/>
  <c r="O10" i="17"/>
  <c r="O11" i="17" s="1"/>
  <c r="O20" i="17" s="1"/>
  <c r="O24" i="17" s="1"/>
  <c r="O28" i="17" s="1"/>
  <c r="O8" i="15"/>
  <c r="O14" i="15" s="1"/>
  <c r="O15" i="15" s="1"/>
  <c r="I8" i="15"/>
  <c r="I14" i="15" s="1"/>
  <c r="I15" i="15" s="1"/>
  <c r="V10" i="17"/>
  <c r="V11" i="17" s="1"/>
  <c r="V20" i="17" s="1"/>
  <c r="V24" i="17" s="1"/>
  <c r="V28" i="17" s="1"/>
  <c r="K8" i="15"/>
  <c r="K14" i="15" s="1"/>
  <c r="K15" i="15" s="1"/>
  <c r="K8" i="31"/>
  <c r="Q9" i="14"/>
  <c r="Q11" i="14" s="1"/>
  <c r="S8" i="15"/>
  <c r="S14" i="15" s="1"/>
  <c r="S15" i="15" s="1"/>
  <c r="T10" i="17"/>
  <c r="T11" i="17" s="1"/>
  <c r="T20" i="17" s="1"/>
  <c r="T24" i="17" s="1"/>
  <c r="T28" i="17" s="1"/>
  <c r="K9" i="14"/>
  <c r="K11" i="14" s="1"/>
  <c r="V8" i="31"/>
  <c r="I10" i="17"/>
  <c r="I11" i="17" s="1"/>
  <c r="I20" i="17" s="1"/>
  <c r="I24" i="17" s="1"/>
  <c r="I28" i="17" s="1"/>
  <c r="M10" i="17"/>
  <c r="M11" i="17" s="1"/>
  <c r="M20" i="17" s="1"/>
  <c r="M24" i="17" s="1"/>
  <c r="M28" i="17" s="1"/>
  <c r="L8" i="31"/>
  <c r="O9" i="14"/>
  <c r="O11" i="14" s="1"/>
  <c r="M8" i="31"/>
  <c r="N8" i="15"/>
  <c r="N14" i="15" s="1"/>
  <c r="N15" i="15" s="1"/>
  <c r="V9" i="14"/>
  <c r="V11" i="14" s="1"/>
  <c r="J8" i="31"/>
  <c r="J9" i="14"/>
  <c r="J11" i="14" s="1"/>
  <c r="X9" i="14"/>
  <c r="X11" i="14" s="1"/>
  <c r="T8" i="15"/>
  <c r="T14" i="15" s="1"/>
  <c r="T15" i="15" s="1"/>
  <c r="R10" i="17"/>
  <c r="R11" i="17" s="1"/>
  <c r="R20" i="17" s="1"/>
  <c r="R24" i="17" s="1"/>
  <c r="R28" i="17" s="1"/>
  <c r="L8" i="15"/>
  <c r="L14" i="15" s="1"/>
  <c r="L15" i="15" s="1"/>
  <c r="M9" i="14"/>
  <c r="M11" i="14" s="1"/>
  <c r="P9" i="14"/>
  <c r="P11" i="14" s="1"/>
  <c r="U10" i="17"/>
  <c r="U11" i="17" s="1"/>
  <c r="U20" i="17" s="1"/>
  <c r="U24" i="17" s="1"/>
  <c r="U28" i="17" s="1"/>
  <c r="G8" i="31"/>
  <c r="H8" i="31" s="1"/>
  <c r="P10" i="17"/>
  <c r="P11" i="17" s="1"/>
  <c r="P20" i="17" s="1"/>
  <c r="P24" i="17" s="1"/>
  <c r="P28" i="17" s="1"/>
  <c r="H8" i="15"/>
  <c r="H14" i="15" s="1"/>
  <c r="H15" i="15" s="1"/>
  <c r="S10" i="17"/>
  <c r="S11" i="17" s="1"/>
  <c r="S20" i="17" s="1"/>
  <c r="S24" i="17" s="1"/>
  <c r="S28" i="17" s="1"/>
  <c r="R9" i="14"/>
  <c r="R11" i="14" s="1"/>
  <c r="W9" i="14"/>
  <c r="W11" i="14" s="1"/>
  <c r="C15" i="14"/>
  <c r="N10" i="17"/>
  <c r="N11" i="17" s="1"/>
  <c r="N20" i="17" s="1"/>
  <c r="N24" i="17" s="1"/>
  <c r="N28" i="17" s="1"/>
  <c r="U8" i="15"/>
  <c r="U14" i="15" s="1"/>
  <c r="U15" i="15" s="1"/>
  <c r="J8" i="15"/>
  <c r="J14" i="15" s="1"/>
  <c r="J15" i="15" s="1"/>
  <c r="O8" i="31"/>
  <c r="L9" i="14"/>
  <c r="L11" i="14" s="1"/>
  <c r="R8" i="31"/>
  <c r="N8" i="31"/>
  <c r="Q8" i="15"/>
  <c r="Q14" i="15" s="1"/>
  <c r="Q15" i="15" s="1"/>
  <c r="P8" i="31"/>
  <c r="T9" i="14"/>
  <c r="T11" i="14" s="1"/>
  <c r="S8" i="31"/>
  <c r="L10" i="17"/>
  <c r="L11" i="17" s="1"/>
  <c r="L20" i="17" s="1"/>
  <c r="L24" i="17" s="1"/>
  <c r="L28" i="17" s="1"/>
  <c r="Q8" i="31"/>
  <c r="T8" i="31"/>
  <c r="U9" i="14"/>
  <c r="U11" i="14" s="1"/>
  <c r="S9" i="14"/>
  <c r="S11" i="14" s="1"/>
  <c r="U8" i="31"/>
  <c r="U10" i="31" s="1"/>
  <c r="J10" i="17"/>
  <c r="J11" i="17" s="1"/>
  <c r="J20" i="17" s="1"/>
  <c r="J24" i="17" s="1"/>
  <c r="J28" i="17" s="1"/>
  <c r="K10" i="17"/>
  <c r="K11" i="17" s="1"/>
  <c r="K20" i="17" s="1"/>
  <c r="K24" i="17" s="1"/>
  <c r="K28" i="17" s="1"/>
  <c r="R8" i="15"/>
  <c r="R14" i="15" s="1"/>
  <c r="R15" i="15" s="1"/>
  <c r="N9" i="14"/>
  <c r="N11" i="14" s="1"/>
  <c r="P8" i="15"/>
  <c r="P14" i="15" s="1"/>
  <c r="P15" i="15" s="1"/>
  <c r="G9" i="31"/>
  <c r="H9" i="31" s="1"/>
  <c r="G18" i="31"/>
  <c r="H18" i="31" s="1"/>
  <c r="P19" i="14"/>
  <c r="J19" i="14"/>
  <c r="S19" i="14"/>
  <c r="U19" i="14"/>
  <c r="V19" i="14"/>
  <c r="N19" i="14"/>
  <c r="O19" i="14"/>
  <c r="L19" i="14"/>
  <c r="W19" i="14"/>
  <c r="M19" i="14"/>
  <c r="R19" i="14"/>
  <c r="Q19" i="14"/>
  <c r="K19" i="14"/>
  <c r="X19" i="14"/>
  <c r="I19" i="14"/>
  <c r="T19" i="14"/>
  <c r="I17" i="39" l="1"/>
  <c r="P17" i="39"/>
  <c r="J17" i="39"/>
  <c r="S17" i="39"/>
  <c r="K17" i="39"/>
  <c r="N17" i="39"/>
  <c r="O17" i="39"/>
  <c r="Z17" i="39"/>
  <c r="T17" i="39"/>
  <c r="Q17" i="39"/>
  <c r="X17" i="39"/>
  <c r="M17" i="39"/>
  <c r="V17" i="39"/>
  <c r="U17" i="39"/>
  <c r="R17" i="39"/>
  <c r="Y17" i="39"/>
  <c r="L17" i="39"/>
  <c r="W17" i="39"/>
  <c r="I8" i="39"/>
  <c r="J8" i="39" s="1"/>
  <c r="K8" i="39" s="1"/>
  <c r="G10" i="39"/>
  <c r="G20" i="39" s="1"/>
  <c r="K23" i="39"/>
  <c r="J25" i="39"/>
  <c r="H8" i="39"/>
  <c r="I8" i="38"/>
  <c r="H15" i="38"/>
  <c r="H16" i="38" s="1"/>
  <c r="G15" i="38"/>
  <c r="G16" i="38" s="1"/>
  <c r="I22" i="14"/>
  <c r="I30" i="14" s="1"/>
  <c r="K22" i="14"/>
  <c r="K42" i="14" s="1"/>
  <c r="C18" i="15"/>
  <c r="V22" i="14"/>
  <c r="V30" i="14" s="1"/>
  <c r="V37" i="14" s="1"/>
  <c r="S22" i="14"/>
  <c r="S30" i="14" s="1"/>
  <c r="S44" i="14" s="1"/>
  <c r="W22" i="14"/>
  <c r="W42" i="14" s="1"/>
  <c r="P22" i="14"/>
  <c r="P30" i="14" s="1"/>
  <c r="P37" i="14" s="1"/>
  <c r="U22" i="14"/>
  <c r="U42" i="14" s="1"/>
  <c r="T22" i="14"/>
  <c r="T42" i="14" s="1"/>
  <c r="X22" i="14"/>
  <c r="X42" i="14" s="1"/>
  <c r="O22" i="14"/>
  <c r="O42" i="14" s="1"/>
  <c r="J22" i="14"/>
  <c r="J42" i="14" s="1"/>
  <c r="Q22" i="14"/>
  <c r="Q30" i="14" s="1"/>
  <c r="Q44" i="14" s="1"/>
  <c r="G14" i="15"/>
  <c r="G18" i="15" s="1"/>
  <c r="L22" i="14"/>
  <c r="L30" i="14" s="1"/>
  <c r="L37" i="14" s="1"/>
  <c r="L46" i="14" s="1"/>
  <c r="R22" i="14"/>
  <c r="R30" i="14" s="1"/>
  <c r="R37" i="14" s="1"/>
  <c r="R46" i="14" s="1"/>
  <c r="N22" i="14"/>
  <c r="N42" i="14" s="1"/>
  <c r="M22" i="14"/>
  <c r="M30" i="14" s="1"/>
  <c r="M37" i="14" s="1"/>
  <c r="G10" i="31"/>
  <c r="H10" i="31" s="1"/>
  <c r="X10" i="31"/>
  <c r="X18" i="31"/>
  <c r="Y10" i="31"/>
  <c r="Y18" i="31"/>
  <c r="AA10" i="31"/>
  <c r="AA18" i="31"/>
  <c r="Z10" i="31"/>
  <c r="Z18" i="31"/>
  <c r="AB10" i="31"/>
  <c r="AB18" i="31"/>
  <c r="T10" i="31"/>
  <c r="T18" i="31"/>
  <c r="L10" i="31"/>
  <c r="L18" i="31"/>
  <c r="S10" i="31"/>
  <c r="S18" i="31"/>
  <c r="O10" i="31"/>
  <c r="O18" i="31"/>
  <c r="M10" i="31"/>
  <c r="M18" i="31"/>
  <c r="J10" i="31"/>
  <c r="J18" i="31"/>
  <c r="P10" i="31"/>
  <c r="P18" i="31"/>
  <c r="N10" i="31"/>
  <c r="N18" i="31"/>
  <c r="K10" i="31"/>
  <c r="K18" i="31"/>
  <c r="U18" i="31"/>
  <c r="U21" i="31" s="1"/>
  <c r="U26" i="31" s="1"/>
  <c r="U32" i="31" s="1"/>
  <c r="W10" i="31"/>
  <c r="W18" i="31"/>
  <c r="I18" i="31"/>
  <c r="Q10" i="31"/>
  <c r="Q18" i="31"/>
  <c r="R10" i="31"/>
  <c r="R18" i="31"/>
  <c r="V10" i="31"/>
  <c r="V18" i="31"/>
  <c r="I10" i="39" l="1"/>
  <c r="I20" i="39" s="1"/>
  <c r="L23" i="39"/>
  <c r="K25" i="39"/>
  <c r="H10" i="39"/>
  <c r="V44" i="14"/>
  <c r="I42" i="14"/>
  <c r="J8" i="38"/>
  <c r="I15" i="38"/>
  <c r="G15" i="15"/>
  <c r="G17" i="15" s="1"/>
  <c r="V42" i="14"/>
  <c r="P44" i="14"/>
  <c r="K30" i="14"/>
  <c r="K37" i="14" s="1"/>
  <c r="K48" i="14" s="1"/>
  <c r="W30" i="14"/>
  <c r="W37" i="14" s="1"/>
  <c r="W48" i="14" s="1"/>
  <c r="S37" i="14"/>
  <c r="S48" i="14" s="1"/>
  <c r="Q37" i="14"/>
  <c r="Q46" i="14" s="1"/>
  <c r="S42" i="14"/>
  <c r="O30" i="14"/>
  <c r="O44" i="14" s="1"/>
  <c r="P42" i="14"/>
  <c r="R48" i="14"/>
  <c r="U30" i="14"/>
  <c r="U44" i="14" s="1"/>
  <c r="T30" i="14"/>
  <c r="T44" i="14" s="1"/>
  <c r="J30" i="14"/>
  <c r="J44" i="14" s="1"/>
  <c r="X30" i="14"/>
  <c r="X44" i="14" s="1"/>
  <c r="Q42" i="14"/>
  <c r="L44" i="14"/>
  <c r="L48" i="14"/>
  <c r="L42" i="14"/>
  <c r="R42" i="14"/>
  <c r="M44" i="14"/>
  <c r="M42" i="14"/>
  <c r="N30" i="14"/>
  <c r="N37" i="14" s="1"/>
  <c r="N48" i="14" s="1"/>
  <c r="R44" i="14"/>
  <c r="AB21" i="31"/>
  <c r="AB26" i="31" s="1"/>
  <c r="AB32" i="31" s="1"/>
  <c r="AA21" i="31"/>
  <c r="AA26" i="31" s="1"/>
  <c r="AA32" i="31" s="1"/>
  <c r="Z21" i="31"/>
  <c r="Z26" i="31" s="1"/>
  <c r="Z32" i="31" s="1"/>
  <c r="Y21" i="31"/>
  <c r="Y26" i="31" s="1"/>
  <c r="Y32" i="31" s="1"/>
  <c r="X21" i="31"/>
  <c r="X26" i="31" s="1"/>
  <c r="X32" i="31" s="1"/>
  <c r="O21" i="31"/>
  <c r="O26" i="31" s="1"/>
  <c r="O32" i="31" s="1"/>
  <c r="K21" i="31"/>
  <c r="K26" i="31" s="1"/>
  <c r="K32" i="31" s="1"/>
  <c r="V21" i="31"/>
  <c r="V26" i="31" s="1"/>
  <c r="V32" i="31" s="1"/>
  <c r="W21" i="31"/>
  <c r="W26" i="31" s="1"/>
  <c r="W32" i="31" s="1"/>
  <c r="J21" i="31"/>
  <c r="J26" i="31" s="1"/>
  <c r="J32" i="31" s="1"/>
  <c r="I37" i="14"/>
  <c r="I44" i="14"/>
  <c r="R21" i="31"/>
  <c r="R26" i="31" s="1"/>
  <c r="R32" i="31" s="1"/>
  <c r="G21" i="31"/>
  <c r="H21" i="31" s="1"/>
  <c r="Q21" i="31"/>
  <c r="Q26" i="31" s="1"/>
  <c r="Q32" i="31" s="1"/>
  <c r="S21" i="31"/>
  <c r="S26" i="31" s="1"/>
  <c r="S32" i="31" s="1"/>
  <c r="N21" i="31"/>
  <c r="N26" i="31" s="1"/>
  <c r="N32" i="31" s="1"/>
  <c r="M21" i="31"/>
  <c r="M26" i="31" s="1"/>
  <c r="M32" i="31" s="1"/>
  <c r="I21" i="31"/>
  <c r="I26" i="31" s="1"/>
  <c r="I32" i="31" s="1"/>
  <c r="L21" i="31"/>
  <c r="L26" i="31" s="1"/>
  <c r="L32" i="31" s="1"/>
  <c r="P21" i="31"/>
  <c r="P26" i="31" s="1"/>
  <c r="P32" i="31" s="1"/>
  <c r="T21" i="31"/>
  <c r="T26" i="31" s="1"/>
  <c r="T32" i="31" s="1"/>
  <c r="P48" i="14"/>
  <c r="P46" i="14"/>
  <c r="M46" i="14"/>
  <c r="M48" i="14"/>
  <c r="V48" i="14"/>
  <c r="V46" i="14"/>
  <c r="G27" i="39" l="1"/>
  <c r="G33" i="39" s="1"/>
  <c r="M23" i="39"/>
  <c r="L25" i="39"/>
  <c r="I27" i="39"/>
  <c r="I33" i="39" s="1"/>
  <c r="J10" i="39"/>
  <c r="J20" i="39" s="1"/>
  <c r="H20" i="39"/>
  <c r="H27" i="39" s="1"/>
  <c r="I16" i="38"/>
  <c r="K8" i="38"/>
  <c r="J15" i="38"/>
  <c r="J16" i="38" s="1"/>
  <c r="Q48" i="14"/>
  <c r="W46" i="14"/>
  <c r="W44" i="14"/>
  <c r="K46" i="14"/>
  <c r="K44" i="14"/>
  <c r="X37" i="14"/>
  <c r="X48" i="14" s="1"/>
  <c r="O37" i="14"/>
  <c r="O48" i="14" s="1"/>
  <c r="S46" i="14"/>
  <c r="U37" i="14"/>
  <c r="U48" i="14" s="1"/>
  <c r="T37" i="14"/>
  <c r="T46" i="14" s="1"/>
  <c r="J37" i="14"/>
  <c r="J46" i="14" s="1"/>
  <c r="N44" i="14"/>
  <c r="N46" i="14"/>
  <c r="G26" i="31"/>
  <c r="H26" i="31" s="1"/>
  <c r="I46" i="14"/>
  <c r="I48" i="14"/>
  <c r="N23" i="39" l="1"/>
  <c r="M25" i="39"/>
  <c r="J27" i="39"/>
  <c r="J33" i="39" s="1"/>
  <c r="L8" i="39"/>
  <c r="K10" i="39"/>
  <c r="K20" i="39" s="1"/>
  <c r="H33" i="39"/>
  <c r="L8" i="38"/>
  <c r="K15" i="38"/>
  <c r="X46" i="14"/>
  <c r="O46" i="14"/>
  <c r="U46" i="14"/>
  <c r="T48" i="14"/>
  <c r="J48" i="14"/>
  <c r="G32" i="31"/>
  <c r="H32" i="31" s="1"/>
  <c r="O23" i="39" l="1"/>
  <c r="N25" i="39"/>
  <c r="K27" i="39"/>
  <c r="K33" i="39" s="1"/>
  <c r="M8" i="39"/>
  <c r="L10" i="39"/>
  <c r="L20" i="39" s="1"/>
  <c r="K16" i="38"/>
  <c r="M8" i="38"/>
  <c r="L15" i="38"/>
  <c r="L16" i="38" s="1"/>
  <c r="P23" i="39" l="1"/>
  <c r="O25" i="39"/>
  <c r="L27" i="39"/>
  <c r="L33" i="39" s="1"/>
  <c r="N8" i="39"/>
  <c r="M10" i="39"/>
  <c r="M20" i="39" s="1"/>
  <c r="N8" i="38"/>
  <c r="M15" i="38"/>
  <c r="M16" i="38" s="1"/>
  <c r="Q23" i="39" l="1"/>
  <c r="P25" i="39"/>
  <c r="M27" i="39"/>
  <c r="M33" i="39" s="1"/>
  <c r="O8" i="39"/>
  <c r="N10" i="39"/>
  <c r="N20" i="39" s="1"/>
  <c r="N27" i="39" s="1"/>
  <c r="O8" i="38"/>
  <c r="N15" i="38"/>
  <c r="R23" i="39" l="1"/>
  <c r="Q25" i="39"/>
  <c r="N33" i="39"/>
  <c r="P8" i="39"/>
  <c r="O10" i="39"/>
  <c r="O20" i="39" s="1"/>
  <c r="N16" i="38"/>
  <c r="P8" i="38"/>
  <c r="O15" i="38"/>
  <c r="O16" i="38" s="1"/>
  <c r="S23" i="39" l="1"/>
  <c r="R25" i="39"/>
  <c r="O27" i="39"/>
  <c r="O33" i="39" s="1"/>
  <c r="Q8" i="39"/>
  <c r="P10" i="39"/>
  <c r="P20" i="39" s="1"/>
  <c r="Q8" i="38"/>
  <c r="P15" i="38"/>
  <c r="T23" i="39" l="1"/>
  <c r="S25" i="39"/>
  <c r="P27" i="39"/>
  <c r="P33" i="39" s="1"/>
  <c r="R8" i="39"/>
  <c r="Q10" i="39"/>
  <c r="Q20" i="39" s="1"/>
  <c r="P16" i="38"/>
  <c r="R8" i="38"/>
  <c r="Q15" i="38"/>
  <c r="Q16" i="38" s="1"/>
  <c r="U23" i="39" l="1"/>
  <c r="T25" i="39"/>
  <c r="Q27" i="39"/>
  <c r="Q33" i="39" s="1"/>
  <c r="S8" i="39"/>
  <c r="R10" i="39"/>
  <c r="R20" i="39" s="1"/>
  <c r="S8" i="38"/>
  <c r="R15" i="38"/>
  <c r="R16" i="38" s="1"/>
  <c r="V23" i="39" l="1"/>
  <c r="U25" i="39"/>
  <c r="R27" i="39"/>
  <c r="R33" i="39" s="1"/>
  <c r="T8" i="39"/>
  <c r="S10" i="39"/>
  <c r="S20" i="39" s="1"/>
  <c r="T8" i="38"/>
  <c r="S15" i="38"/>
  <c r="S16" i="38" s="1"/>
  <c r="W23" i="39" l="1"/>
  <c r="V25" i="39"/>
  <c r="S27" i="39"/>
  <c r="S33" i="39" s="1"/>
  <c r="U8" i="39"/>
  <c r="T10" i="39"/>
  <c r="T20" i="39" s="1"/>
  <c r="U8" i="38"/>
  <c r="T15" i="38"/>
  <c r="T16" i="38" s="1"/>
  <c r="W25" i="39" l="1"/>
  <c r="X23" i="39"/>
  <c r="T27" i="39"/>
  <c r="T33" i="39" s="1"/>
  <c r="V8" i="39"/>
  <c r="U10" i="39"/>
  <c r="U20" i="39" s="1"/>
  <c r="U15" i="38"/>
  <c r="U16" i="38" s="1"/>
  <c r="V8" i="38"/>
  <c r="X25" i="39" l="1"/>
  <c r="Y23" i="39"/>
  <c r="U27" i="39"/>
  <c r="U33" i="39" s="1"/>
  <c r="V10" i="39"/>
  <c r="V20" i="39" s="1"/>
  <c r="W8" i="39"/>
  <c r="W8" i="38"/>
  <c r="V15" i="38"/>
  <c r="Y25" i="39" l="1"/>
  <c r="Z23" i="39"/>
  <c r="V27" i="39"/>
  <c r="V33" i="39" s="1"/>
  <c r="W10" i="39"/>
  <c r="W20" i="39" s="1"/>
  <c r="X8" i="39"/>
  <c r="V16" i="38"/>
  <c r="X8" i="38"/>
  <c r="W15" i="38"/>
  <c r="W16" i="38" s="1"/>
  <c r="Z25" i="39" l="1"/>
  <c r="AA23" i="39"/>
  <c r="AA25" i="39" s="1"/>
  <c r="W27" i="39"/>
  <c r="W33" i="39" s="1"/>
  <c r="X10" i="39"/>
  <c r="X20" i="39" s="1"/>
  <c r="Y8" i="39"/>
  <c r="Y8" i="38"/>
  <c r="X15" i="38"/>
  <c r="X27" i="39" l="1"/>
  <c r="X33" i="39" s="1"/>
  <c r="Y10" i="39"/>
  <c r="Y20" i="39" s="1"/>
  <c r="Z8" i="39"/>
  <c r="X16" i="38"/>
  <c r="Z8" i="38"/>
  <c r="Z15" i="38" s="1"/>
  <c r="Z16" i="38" s="1"/>
  <c r="Y15" i="38"/>
  <c r="Y16" i="38" s="1"/>
  <c r="Y27" i="39" l="1"/>
  <c r="Y33" i="39" s="1"/>
  <c r="AA8" i="39"/>
  <c r="AA10" i="39" s="1"/>
  <c r="AA20" i="39" s="1"/>
  <c r="Z10" i="39"/>
  <c r="Z20" i="39" s="1"/>
  <c r="G19" i="38"/>
  <c r="G18" i="38"/>
  <c r="Z27" i="39" l="1"/>
  <c r="Z33" i="39" s="1"/>
  <c r="AA27" i="39"/>
  <c r="AA33"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tc={E2534878-F054-4017-8C56-0437D1A9AF80}</author>
  </authors>
  <commentList>
    <comment ref="C32" authorId="0" shapeId="0" xr:uid="{E2534878-F054-4017-8C56-0437D1A9AF80}">
      <text>
        <t>[Threaded comment]
Your version of Excel allows you to read this threaded comment; however, any edits to it will get removed if the file is opened in a newer version of Excel. Learn more: https://go.microsoft.com/fwlink/?linkid=870924
Comment:
    https://www.justia.com/tax/corporate-tax/business-tax-deductions/section-179-and-bonus-depreciation/#:~:text=The%20100%20percent%20rule%20will,is%20set%20at%2080%20percent.
The government allows 100% depreciation until the end of 2022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tc={6BFAAA63-B66F-452F-B146-F9CB496AA9ED}</author>
  </authors>
  <commentList>
    <comment ref="C32" authorId="0" shapeId="0" xr:uid="{6BFAAA63-B66F-452F-B146-F9CB496AA9ED}">
      <text>
        <t>[Threaded comment]
Your version of Excel allows you to read this threaded comment; however, any edits to it will get removed if the file is opened in a newer version of Excel. Learn more: https://go.microsoft.com/fwlink/?linkid=870924
Comment:
    https://www.justia.com/tax/corporate-tax/business-tax-deductions/section-179-and-bonus-depreciation/#:~:text=The%20100%20percent%20rule%20will,is%20set%20at%2080%20percent.
The government allows 100% depreciation until the end of 2022</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tc={29CD8F83-4EDC-46E4-8207-5F4076B057A7}</author>
    <author>tc={839844D7-C6A3-4266-9413-18829C85157A}</author>
    <author>Jason Keyser</author>
  </authors>
  <commentList>
    <comment ref="C10" authorId="0" shapeId="0" xr:uid="{29CD8F83-4EDC-46E4-8207-5F4076B057A7}">
      <text>
        <t>[Threaded comment]
Your version of Excel allows you to read this threaded comment; however, any edits to it will get removed if the file is opened in a newer version of Excel. Learn more: https://go.microsoft.com/fwlink/?linkid=870924
Comment:
    Some space needs to be left empty for people to walk through the facility, it can't be 100% load banks</t>
      </text>
    </comment>
    <comment ref="N19" authorId="1" shapeId="0" xr:uid="{839844D7-C6A3-4266-9413-18829C85157A}">
      <text>
        <t>[Threaded comment]
Your version of Excel allows you to read this threaded comment; however, any edits to it will get removed if the file is opened in a newer version of Excel. Learn more: https://go.microsoft.com/fwlink/?linkid=870924
Comment:
    Qty represents inflection points in the shipping prices based on quotes from polaris, not the actual number of LBs being shipped but the range it falls into</t>
      </text>
    </comment>
    <comment ref="G34" authorId="2" shapeId="0" xr:uid="{FB2ED0FE-A949-4E40-80E0-79B470A735BB}">
      <text>
        <r>
          <rPr>
            <b/>
            <sz val="9"/>
            <color indexed="81"/>
            <rFont val="Tahoma"/>
            <family val="2"/>
          </rPr>
          <t>Jason Keyser:</t>
        </r>
        <r>
          <rPr>
            <sz val="9"/>
            <color indexed="81"/>
            <rFont val="Tahoma"/>
            <family val="2"/>
          </rPr>
          <t xml:space="preserve">
Labor Cost From Netsuite Manhours Report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tc={828B68A4-9A6C-4B1F-A7E9-FB5DD98346FA}</author>
    <author>Jason Keyser</author>
    <author>tc={C079F97C-1082-4C96-BBCE-636CB44F4D80}</author>
    <author>tc={AD5B3DAF-81CE-453C-BAC4-DB134570ACE5}</author>
    <author>tc={6E17E356-523C-4E3F-999E-121032104F8C}</author>
    <author>tc={E5281965-E072-4219-A871-9A1151AA5B9A}</author>
  </authors>
  <commentList>
    <comment ref="G14" authorId="0" shapeId="0" xr:uid="{828B68A4-9A6C-4B1F-A7E9-FB5DD98346FA}">
      <text>
        <t>[Threaded comment]
Your version of Excel allows you to read this threaded comment; however, any edits to it will get removed if the file is opened in a newer version of Excel. Learn more: https://go.microsoft.com/fwlink/?linkid=870924
Comment:
    The balance inflation forecast stops in 2025. The Fed's target inflation rate of 2% is used as a terminal value</t>
      </text>
    </comment>
    <comment ref="D16" authorId="1" shapeId="0" xr:uid="{860F47C4-8355-4F4C-849C-28FD3AFC145C}">
      <text>
        <r>
          <rPr>
            <b/>
            <sz val="9"/>
            <color indexed="81"/>
            <rFont val="Tahoma"/>
            <family val="2"/>
          </rPr>
          <t>Jason Keyser:</t>
        </r>
        <r>
          <rPr>
            <sz val="9"/>
            <color indexed="81"/>
            <rFont val="Tahoma"/>
            <family val="2"/>
          </rPr>
          <t xml:space="preserve">
The rental equipment report does not give forecast of prices but rather a growth rate for the industry of 5.47% over the next 5 years. Since this is higher than the growth rate of the overall economy, I assume prices will rise more than the standard level.
</t>
        </r>
      </text>
    </comment>
    <comment ref="D19" authorId="2" shapeId="0" xr:uid="{C079F97C-1082-4C96-BBCE-636CB44F4D80}">
      <text>
        <t>[Threaded comment]
Your version of Excel allows you to read this threaded comment; however, any edits to it will get removed if the file is opened in a newer version of Excel. Learn more: https://go.microsoft.com/fwlink/?linkid=870924
Comment:
    Like Rental, the forecast does not predict prices but rather industry growth. Storage growth rate is 5.45% until 2026. This is higher than the general economy, so I added .5% on to the forecast of inflation.</t>
      </text>
    </comment>
    <comment ref="G25" authorId="3" shapeId="0" xr:uid="{AD5B3DAF-81CE-453C-BAC4-DB134570ACE5}">
      <text>
        <t>[Threaded comment]
Your version of Excel allows you to read this threaded comment; however, any edits to it will get removed if the file is opened in a newer version of Excel. Learn more: https://go.microsoft.com/fwlink/?linkid=870924
Comment:
    The balance inflation forecast stops in 2025. The Fed's target inflation rate of 2% is used as a terminal value</t>
      </text>
    </comment>
    <comment ref="G35" authorId="4" shapeId="0" xr:uid="{6E17E356-523C-4E3F-999E-121032104F8C}">
      <text>
        <t>[Threaded comment]
Your version of Excel allows you to read this threaded comment; however, any edits to it will get removed if the file is opened in a newer version of Excel. Learn more: https://go.microsoft.com/fwlink/?linkid=870924
Comment:
    The balance inflation forecast stops in 2025. The Fed's target inflation rate of 2% is used as a terminal value</t>
      </text>
    </comment>
    <comment ref="G47" authorId="5" shapeId="0" xr:uid="{E5281965-E072-4219-A871-9A1151AA5B9A}">
      <text>
        <t>[Threaded comment]
Your version of Excel allows you to read this threaded comment; however, any edits to it will get removed if the file is opened in a newer version of Excel. Learn more: https://go.microsoft.com/fwlink/?linkid=870924
Comment:
    The balance inflation forecast stops in 2025. The Fed's target inflation rate of 2% is used as a terminal value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tc={DC074B2B-0A93-4061-9640-3B53F9569A9A}</author>
    <author>tc={582A8D82-EF57-4074-AEDC-EA3ACFBE6ABE}</author>
  </authors>
  <commentList>
    <comment ref="B9" authorId="0" shapeId="0" xr:uid="{DC074B2B-0A93-4061-9640-3B53F9569A9A}">
      <text>
        <t>[Threaded comment]
Your version of Excel allows you to read this threaded comment; however, any edits to it will get removed if the file is opened in a newer version of Excel. Learn more: https://go.microsoft.com/fwlink/?linkid=870924
Comment:
    Encore's backup did not include a cost of pickup and delivery. I believe they would have paid united rentals for pickup and delivery, then when they made an extension to keep the equipment on site, no additional charges were applied.
The charges are estimated using SAT's delivery and pickup charges as a percentage of load bank and accessory charges</t>
      </text>
    </comment>
    <comment ref="B13" authorId="1" shapeId="0" xr:uid="{582A8D82-EF57-4074-AEDC-EA3ACFBE6ABE}">
      <text>
        <t>[Threaded comment]
Your version of Excel allows you to read this threaded comment; however, any edits to it will get removed if the file is opened in a newer version of Excel. Learn more: https://go.microsoft.com/fwlink/?linkid=870924
Comment:
    No evidence of a 2500 KW load bank was found in the bills, but Microsoft requirements listed a 2500 kw unit was needed to test the Gens. Pricing of the unit is assumed to be the same as SAT 46.</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tc={85587D8A-3125-4752-A73E-7F2F80B30953}</author>
  </authors>
  <commentList>
    <comment ref="B58" authorId="0" shapeId="0" xr:uid="{85587D8A-3125-4752-A73E-7F2F80B30953}">
      <text>
        <t>[Threaded comment]
Your version of Excel allows you to read this threaded comment; however, any edits to it will get removed if the file is opened in a newer version of Excel. Learn more: https://go.microsoft.com/fwlink/?linkid=870924
Comment:
    Per Aaron Milton, you can get roughly 500 burn hours from a load bank before any significant maintenance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Jason Keyser</author>
  </authors>
  <commentList>
    <comment ref="B14" authorId="0" shapeId="0" xr:uid="{68EBC638-FD5C-435E-9FA3-B60748586ABF}">
      <text>
        <r>
          <rPr>
            <b/>
            <sz val="9"/>
            <color indexed="81"/>
            <rFont val="Tahoma"/>
            <family val="2"/>
          </rPr>
          <t>Jason Keyser:</t>
        </r>
        <r>
          <rPr>
            <sz val="9"/>
            <color indexed="81"/>
            <rFont val="Tahoma"/>
            <family val="2"/>
          </rPr>
          <t xml:space="preserve">
2 hours estimate is taken from information on the right.</t>
        </r>
      </text>
    </comment>
    <comment ref="B51" authorId="0" shapeId="0" xr:uid="{9765E3B6-60AE-4D19-8E90-5BC7824A57F1}">
      <text>
        <r>
          <rPr>
            <b/>
            <sz val="9"/>
            <color indexed="81"/>
            <rFont val="Tahoma"/>
            <family val="2"/>
          </rPr>
          <t>Jason Keyser:</t>
        </r>
        <r>
          <rPr>
            <sz val="9"/>
            <color indexed="81"/>
            <rFont val="Tahoma"/>
            <family val="2"/>
          </rPr>
          <t xml:space="preserve">
Price taken is from the median of this list
Source: https://www.choosetexaspower.org/electricity-rates/dallas/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tc={8B784A38-40C8-47BB-ADF9-6551D4368069}</author>
    <author>tc={114D1EF2-CD7B-4AD1-B360-A2ED2576FB99}</author>
    <author>tc={09D3148F-0603-4453-965C-2F16E9D4A626}</author>
    <author>tc={5444BF6C-83C6-4E17-989F-466D49E8B608}</author>
  </authors>
  <commentList>
    <comment ref="A7" authorId="0" shapeId="0" xr:uid="{8B784A38-40C8-47BB-ADF9-6551D4368069}">
      <text>
        <t>[Threaded comment]
Your version of Excel allows you to read this threaded comment; however, any edits to it will get removed if the file is opened in a newer version of Excel. Learn more: https://go.microsoft.com/fwlink/?linkid=870924
Comment:
    Enclosed Cable reels store 4/0 Power Cables</t>
      </text>
    </comment>
    <comment ref="J7" authorId="1" shapeId="0" xr:uid="{114D1EF2-CD7B-4AD1-B360-A2ED2576FB99}">
      <text>
        <t>[Threaded comment]
Your version of Excel allows you to read this threaded comment; however, any edits to it will get removed if the file is opened in a newer version of Excel. Learn more: https://go.microsoft.com/fwlink/?linkid=870924
Comment:
    Stores up to 1000 feet of 4/0 AWG cable</t>
      </text>
    </comment>
    <comment ref="A27" authorId="2" shapeId="0" xr:uid="{09D3148F-0603-4453-965C-2F16E9D4A626}">
      <text>
        <t>[Threaded comment]
Your version of Excel allows you to read this threaded comment; however, any edits to it will get removed if the file is opened in a newer version of Excel. Learn more: https://go.microsoft.com/fwlink/?linkid=870924
Comment:
    Adding in these items which are not provided in LBDs quote to level it with ASCO</t>
      </text>
    </comment>
    <comment ref="C28" authorId="3" shapeId="0" xr:uid="{5444BF6C-83C6-4E17-989F-466D49E8B608}">
      <text>
        <t>[Threaded comment]
Your version of Excel allows you to read this threaded comment; however, any edits to it will get removed if the file is opened in a newer version of Excel. Learn more: https://go.microsoft.com/fwlink/?linkid=870924
Comment:
    Number borrowed from ASCO offering. Assuming 1 digital power meter if complimentary but additional must be bought per load bank</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Jason Keyser</author>
  </authors>
  <commentList>
    <comment ref="B2" authorId="0" shapeId="0" xr:uid="{1FB0B352-5904-4060-A756-A33610BA3E14}">
      <text>
        <r>
          <rPr>
            <b/>
            <sz val="9"/>
            <color indexed="81"/>
            <rFont val="Tahoma"/>
            <family val="2"/>
          </rPr>
          <t>Jason Keyser:</t>
        </r>
        <r>
          <rPr>
            <sz val="9"/>
            <color indexed="81"/>
            <rFont val="Tahoma"/>
            <family val="2"/>
          </rPr>
          <t xml:space="preserve">
Prices from Quincy to Dallas are the same as from Dallas to Quincy</t>
        </r>
      </text>
    </comment>
    <comment ref="C7" authorId="0" shapeId="0" xr:uid="{21F0D64B-5E5B-4546-A220-D8447198FE87}">
      <text>
        <r>
          <rPr>
            <b/>
            <sz val="9"/>
            <color indexed="81"/>
            <rFont val="Tahoma"/>
            <family val="2"/>
          </rPr>
          <t>Jason Keyser:</t>
        </r>
        <r>
          <rPr>
            <sz val="9"/>
            <color indexed="81"/>
            <rFont val="Tahoma"/>
            <family val="2"/>
          </rPr>
          <t xml:space="preserve">
Per Rick Curtis email, we can fit 28 400 kw load banks on one truck</t>
        </r>
      </text>
    </comment>
    <comment ref="B12" authorId="0" shapeId="0" xr:uid="{C7221D15-6A37-4BF8-9D4A-9ECBDD7DD0F1}">
      <text>
        <r>
          <rPr>
            <b/>
            <sz val="9"/>
            <color indexed="81"/>
            <rFont val="Tahoma"/>
            <family val="2"/>
          </rPr>
          <t>Jason Keyser:</t>
        </r>
        <r>
          <rPr>
            <sz val="9"/>
            <color indexed="81"/>
            <rFont val="Tahoma"/>
            <family val="2"/>
          </rPr>
          <t xml:space="preserve">
Prices from Quincy to Dallas are the same as from Dallas to Quincy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tc={D8461B92-C2DC-44D4-8E17-7C51E7D5FECD}</author>
  </authors>
  <commentList>
    <comment ref="AB20" authorId="0" shapeId="0" xr:uid="{D8461B92-C2DC-44D4-8E17-7C51E7D5FECD}">
      <text>
        <t>[Threaded comment]
Your version of Excel allows you to read this threaded comment; however, any edits to it will get removed if the file is opened in a newer version of Excel. Learn more: https://go.microsoft.com/fwlink/?linkid=870924
Comment:
    Labor was not shown on the Change Order extension, and the breakout is also missing from the original contract. A pro-rated amount is used here as an estimate.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tc={28024525-2687-4A77-B976-08CFD6F99C68}</author>
    <author>tc={0DDD2B9D-93AB-4067-88C7-2644E7EB6415}</author>
  </authors>
  <commentList>
    <comment ref="I12" authorId="0" shapeId="0" xr:uid="{28024525-2687-4A77-B976-08CFD6F99C68}">
      <text>
        <t>[Threaded comment]
Your version of Excel allows you to read this threaded comment; however, any edits to it will get removed if the file is opened in a newer version of Excel. Learn more: https://go.microsoft.com/fwlink/?linkid=870924
Comment:
    cost of accessories includes delivery and pickup charges, should these be shown seperately?</t>
      </text>
    </comment>
    <comment ref="F45" authorId="1" shapeId="0" xr:uid="{0DDD2B9D-93AB-4067-88C7-2644E7EB6415}">
      <text>
        <t>[Threaded comment]
Your version of Excel allows you to read this threaded comment; however, any edits to it will get removed if the file is opened in a newer version of Excel. Learn more: https://go.microsoft.com/fwlink/?linkid=870924
Comment:
    1 delivery and 1 pickup charge are still needed even though 4 week extension was not made. The rest of the charges were divided by 2 gross of tax.</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tc={81F6615A-5E8E-4C52-AD90-6290E05AE889}</author>
  </authors>
  <commentList>
    <comment ref="H6" authorId="0" shapeId="0" xr:uid="{81F6615A-5E8E-4C52-AD90-6290E05AE889}">
      <text>
        <t>[Threaded comment]
Your version of Excel allows you to read this threaded comment; however, any edits to it will get removed if the file is opened in a newer version of Excel. Learn more: https://go.microsoft.com/fwlink/?linkid=870924
Comment:
    Charge is wrong on invoice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tc={F8968FE6-273C-4F28-BC3C-60D1ADC42E2B}</author>
    <author>tc={1098C7E7-9E50-429C-B0C8-884111AC3526}</author>
  </authors>
  <commentList>
    <comment ref="H12" authorId="0" shapeId="0" xr:uid="{F8968FE6-273C-4F28-BC3C-60D1ADC42E2B}">
      <text>
        <t>[Threaded comment]
Your version of Excel allows you to read this threaded comment; however, any edits to it will get removed if the file is opened in a newer version of Excel. Learn more: https://go.microsoft.com/fwlink/?linkid=870924
Comment:
    Price per month</t>
      </text>
    </comment>
    <comment ref="J12" authorId="1" shapeId="0" xr:uid="{1098C7E7-9E50-429C-B0C8-884111AC3526}">
      <text>
        <t>[Threaded comment]
Your version of Excel allows you to read this threaded comment; however, any edits to it will get removed if the file is opened in a newer version of Excel. Learn more: https://go.microsoft.com/fwlink/?linkid=870924
Comment:
    400 kw load banks, 3000 kw loadbanks are ignored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<sst xmlns="http://schemas.openxmlformats.org/spreadsheetml/2006/main" count="2014" uniqueCount="807">
  <si>
    <t>Purchase Price</t>
  </si>
  <si>
    <t>Maintenance</t>
  </si>
  <si>
    <t>Storage</t>
  </si>
  <si>
    <t>Shipping</t>
  </si>
  <si>
    <t>Cost of Ownership</t>
  </si>
  <si>
    <t>400 KW</t>
  </si>
  <si>
    <t>Price</t>
  </si>
  <si>
    <t>Accessories</t>
  </si>
  <si>
    <t>Total</t>
  </si>
  <si>
    <t>Location</t>
  </si>
  <si>
    <t>From</t>
  </si>
  <si>
    <t>To</t>
  </si>
  <si>
    <t>Prepared by - Jason Keyser</t>
  </si>
  <si>
    <t>Load Bank Ownership Analysis</t>
  </si>
  <si>
    <t>Qty</t>
  </si>
  <si>
    <t>Key Assumptions</t>
  </si>
  <si>
    <t>Price per</t>
  </si>
  <si>
    <t>3000 KW LB</t>
  </si>
  <si>
    <t>Type</t>
  </si>
  <si>
    <t>400 Kw LB</t>
  </si>
  <si>
    <t>Initial shipping to storage</t>
  </si>
  <si>
    <t>Overhead Costs per year</t>
  </si>
  <si>
    <t>3000 KW</t>
  </si>
  <si>
    <t>Sq ft</t>
  </si>
  <si>
    <t>Total Sq ft</t>
  </si>
  <si>
    <t>Price/Sq ft</t>
  </si>
  <si>
    <t>San Antonio</t>
  </si>
  <si>
    <t>Dallas</t>
  </si>
  <si>
    <t>Ashburn</t>
  </si>
  <si>
    <t>Total (ann)</t>
  </si>
  <si>
    <t>QTY</t>
  </si>
  <si>
    <t>Equip</t>
  </si>
  <si>
    <t>Description</t>
  </si>
  <si>
    <t>Day</t>
  </si>
  <si>
    <t>Week</t>
  </si>
  <si>
    <t>4 Week</t>
  </si>
  <si>
    <t>Estimated Amount</t>
  </si>
  <si>
    <t>600 KW Load Banks</t>
  </si>
  <si>
    <t>400 KW Load Banks</t>
  </si>
  <si>
    <t>Number of Load Banks</t>
  </si>
  <si>
    <t>United</t>
  </si>
  <si>
    <t>W/ Encore Upcharge</t>
  </si>
  <si>
    <t>Cost of Load Banks</t>
  </si>
  <si>
    <t>Cost of Accessories</t>
  </si>
  <si>
    <t>241/7662</t>
  </si>
  <si>
    <t>Cable 4/0 AWG 400 Amp 50' CAM 74 Sets of 50' Cables Wire</t>
  </si>
  <si>
    <t>999/9999</t>
  </si>
  <si>
    <t>Miscellaneous Bulk Inventory Equipment 64 X 50 Network Cables</t>
  </si>
  <si>
    <t>Miscellaneous Bulk Inventory -5 X LDBK REMOTE, TABLET (LBC-HHS1)</t>
  </si>
  <si>
    <t>Miscellaneous Bulk Inventory Equipment 1 X MASTER COMPUTER CAT6 CABLES</t>
  </si>
  <si>
    <t>Miscellaneous Bulk Inventory Equipment -2 X 8-PORT ETHERNET SWITCH</t>
  </si>
  <si>
    <t>MISCELLANEOUS BULK INVENTORY EQUIPMENT -20 X LDBK CABLE, MASTER SLAVE 50FT (LBC-MSC-50)</t>
  </si>
  <si>
    <t>MISCELLANEOUS BULK INVENTORY EQUIPMENT '-8 X LDBK ETHERNET POD (LBC-485-ETHNT)</t>
  </si>
  <si>
    <t>MISCELLANEOUS BULK INVENTORY EQUIPMENT -10 X LDBK REMOTE CABLE 50FT
(LBC-RCBLE-50)</t>
  </si>
  <si>
    <t>Load Bank 600KW Networkable Spares</t>
  </si>
  <si>
    <t>Equipment #</t>
  </si>
  <si>
    <t>Model</t>
  </si>
  <si>
    <t>Amount</t>
  </si>
  <si>
    <t>400 KW Remote Controlled Load Bank</t>
  </si>
  <si>
    <t>Make: AVTRON Model: LPH400-LT Ser #: 1447896</t>
  </si>
  <si>
    <t>400 KW Loadbanks</t>
  </si>
  <si>
    <t>Total Weeks Used</t>
  </si>
  <si>
    <t>Make: AVTRON Model: LPH400-LT Ser #: 2425</t>
  </si>
  <si>
    <t>100 KW Loadbanks</t>
  </si>
  <si>
    <t>100 KW Remote Controlled Load Bank</t>
  </si>
  <si>
    <t>Make: AVTRON Model: 2705 W/REMOTE Ser #: 1891346-015</t>
  </si>
  <si>
    <t>Total Loadbanks</t>
  </si>
  <si>
    <t>50' #2 Banded 4-Wire</t>
  </si>
  <si>
    <t>4/0 Camlock Cable 50'</t>
  </si>
  <si>
    <t>Sunbelt Rentals</t>
  </si>
  <si>
    <t>Camlock Turnaround F to F</t>
  </si>
  <si>
    <t>Delivery Charge</t>
  </si>
  <si>
    <t>Pickup Charge</t>
  </si>
  <si>
    <t>Delivery &amp; Pickup</t>
  </si>
  <si>
    <t>General Assumptions</t>
  </si>
  <si>
    <t>Storage Center Location</t>
  </si>
  <si>
    <t>3000 kw LBs required</t>
  </si>
  <si>
    <t>400 kw Lbs required</t>
  </si>
  <si>
    <t>60 X 50' NETWORK CABLES</t>
  </si>
  <si>
    <t>-5 x LDBK REMOTE, TABLET (LBC-HHS1)</t>
  </si>
  <si>
    <t>1 X MASTER COMPUTER</t>
  </si>
  <si>
    <t>10 X 300' CAT6 CABLES</t>
  </si>
  <si>
    <t>-2 X 8-PORT ETHERNET SWITCH</t>
  </si>
  <si>
    <t>-8 X LDBK ETHERNET POD (LBC-485-ETHNT)</t>
  </si>
  <si>
    <t>Estimated Amt.</t>
  </si>
  <si>
    <t>LOAD BANK 400KW NETWORKABLE</t>
  </si>
  <si>
    <t>Weeks Rented</t>
  </si>
  <si>
    <t>CABLE 4/0 AWG 400 AMP 50' CAM</t>
  </si>
  <si>
    <t>4 Week rate</t>
  </si>
  <si>
    <t>-1 X SINGLE PORT USB TO ETHERNET SWITCH
-8 X USB A TO B CABLE
-10 X LDBK CONNECTOR, REMOTE TO POD
CABLE (LBC-CONNECTOR-RC-FF)</t>
  </si>
  <si>
    <t>-60 X LDBK CABLES, MASTER SLAVE 25FT
(LBC-MSC-25)</t>
  </si>
  <si>
    <t>-20 X LDBK CABLE, MASTER SLAVE 50ft
(LBC-MSC-50)</t>
  </si>
  <si>
    <t>-10 X LDBK REMOTE CABLE 50FT
(LBC-RCBLE-50)</t>
  </si>
  <si>
    <t>LOAD BANK 400KW NETWORKABLE N/C
SPARES - NO CHARGE</t>
  </si>
  <si>
    <t>Load Bank 2500 Kw</t>
  </si>
  <si>
    <t>DELIVERY TRAILERS - UP TO 9,999 LBS</t>
  </si>
  <si>
    <t>Texas Motor Vehicle Tax</t>
  </si>
  <si>
    <t>2500 Kw Load Banks</t>
  </si>
  <si>
    <t>Total # of Load Banks</t>
  </si>
  <si>
    <t>Commisioning Time (wks)</t>
  </si>
  <si>
    <t>CYS08 Load Bank Usage</t>
  </si>
  <si>
    <t>SAT 46 Load Bank Usage</t>
  </si>
  <si>
    <t>600 Kw Load Banks Used</t>
  </si>
  <si>
    <t>400 Kw Load Banks Used</t>
  </si>
  <si>
    <t>United Rentals</t>
  </si>
  <si>
    <t>Total Cost</t>
  </si>
  <si>
    <t>2500 Kw Load Banks Used</t>
  </si>
  <si>
    <t>Cost to Rent</t>
  </si>
  <si>
    <t>Load Bank Requirements</t>
  </si>
  <si>
    <t>Average cost of Load Banks</t>
  </si>
  <si>
    <t>Average cost of Accessories</t>
  </si>
  <si>
    <t>Average Total Cost</t>
  </si>
  <si>
    <t>2500 Kw/ 3000 Kw Load Banks Required</t>
  </si>
  <si>
    <t>400 Kw/ 600 Kw Load Banks Required</t>
  </si>
  <si>
    <t>Cost of Renting</t>
  </si>
  <si>
    <t>(Yearly)</t>
  </si>
  <si>
    <t>Subtotal</t>
  </si>
  <si>
    <t>Load Banks cost per job</t>
  </si>
  <si>
    <t>Accessories cost per job</t>
  </si>
  <si>
    <t>Cash Flow Analysis</t>
  </si>
  <si>
    <t>NPV</t>
  </si>
  <si>
    <t>IRR</t>
  </si>
  <si>
    <t>Year</t>
  </si>
  <si>
    <t>LB Dimensions</t>
  </si>
  <si>
    <t>Sq Ft</t>
  </si>
  <si>
    <t>Cu ft</t>
  </si>
  <si>
    <t>Height</t>
  </si>
  <si>
    <t>Average Price/Load Bank</t>
  </si>
  <si>
    <t>Average Price/sqft</t>
  </si>
  <si>
    <t>Best Unit Dimensions</t>
  </si>
  <si>
    <t>Length (ft)</t>
  </si>
  <si>
    <t>400 kw load bank</t>
  </si>
  <si>
    <t>3000 kw load bank</t>
  </si>
  <si>
    <t>Width (ft)</t>
  </si>
  <si>
    <t>Best Options</t>
  </si>
  <si>
    <t>Average price/sqft</t>
  </si>
  <si>
    <t>Avg Price/sqft</t>
  </si>
  <si>
    <t>Cubesmart</t>
  </si>
  <si>
    <t>Public Storage</t>
  </si>
  <si>
    <t>10 x 15, 20 x 30, or 10 x 7.5</t>
  </si>
  <si>
    <t>not 5x5 or 10 x7's</t>
  </si>
  <si>
    <t>Any size</t>
  </si>
  <si>
    <t>Company</t>
  </si>
  <si>
    <t>Climate Controlled?</t>
  </si>
  <si>
    <t>Height (ft)</t>
  </si>
  <si>
    <t>price</t>
  </si>
  <si>
    <t>per sq ft</t>
  </si>
  <si>
    <t>Loadbanks per space</t>
  </si>
  <si>
    <t>Price/Load bank</t>
  </si>
  <si>
    <t>Link</t>
  </si>
  <si>
    <t>5x5 or 10 x 7?</t>
  </si>
  <si>
    <t>Yes</t>
  </si>
  <si>
    <t>https://www.publicstorage.com/self-storage-search?location=dallas</t>
  </si>
  <si>
    <t>CubeSmart</t>
  </si>
  <si>
    <t>https://www.cubesmart.com/texas-self-storage/san-antonio-self-storage/climate-controlled/4225.html</t>
  </si>
  <si>
    <t>https://www.cubesmart.com/texas-self-storage/dallas-self-storage/climate-controlled/1379.html</t>
  </si>
  <si>
    <t>https://www.publicstorage.com/self-storage-tx-san-antonio/620?sp=620|9|San%20Antonio|29.42412|-98.49363|0|1|1</t>
  </si>
  <si>
    <t>https://www.publicstorage.com/self-storage-search?location=ashburn</t>
  </si>
  <si>
    <t>https://www.cubesmart.com/virginia-self-storage/ashburn-self-storage/3854.html</t>
  </si>
  <si>
    <t>Rating (kw)</t>
  </si>
  <si>
    <t>Load Step Resolution (kw)</t>
  </si>
  <si>
    <t>Voltage (VAC)</t>
  </si>
  <si>
    <t>Frequency (Hz)</t>
  </si>
  <si>
    <t>Weight (Lbs)</t>
  </si>
  <si>
    <t>cu ft</t>
  </si>
  <si>
    <t>Lowest Temp (F)</t>
  </si>
  <si>
    <t>Highest Temp (F)</t>
  </si>
  <si>
    <t>20' Load Cable Set</t>
  </si>
  <si>
    <t>30' Load Cable Set</t>
  </si>
  <si>
    <t>Specs</t>
  </si>
  <si>
    <t>Pricing</t>
  </si>
  <si>
    <t>Price (1 unit)</t>
  </si>
  <si>
    <t>Average of 2 Jobs</t>
  </si>
  <si>
    <t>Fedora Manassas</t>
  </si>
  <si>
    <t>With help from Chuck Lowther and Aaron Milton</t>
  </si>
  <si>
    <t>property of CPGBeyond.inc</t>
  </si>
  <si>
    <t>Purpose:</t>
  </si>
  <si>
    <t>Quantify the costs of owning a fleet of Load Banks and comparing them to the costs of renting for each Data Center project.</t>
  </si>
  <si>
    <t>4 Weeks</t>
  </si>
  <si>
    <t>8 Weeks</t>
  </si>
  <si>
    <t>LOAD BANK 600KW NETWORKABLE</t>
  </si>
  <si>
    <t>Encore Backup for 400 kw load banks &amp; accessories, rented from United Rentals for 8 weeks</t>
  </si>
  <si>
    <t>tax</t>
  </si>
  <si>
    <t>total for 1 2500 kw loadbank</t>
  </si>
  <si>
    <t>total charge</t>
  </si>
  <si>
    <t>4 Week Rate</t>
  </si>
  <si>
    <t>25000 kw Loadbank 4 week rental</t>
  </si>
  <si>
    <t>Item</t>
  </si>
  <si>
    <t>Unit</t>
  </si>
  <si>
    <t>Per</t>
  </si>
  <si>
    <t>Extension</t>
  </si>
  <si>
    <t>each</t>
  </si>
  <si>
    <t>Encore Backup for 1 2500 kw loadbank &amp; accessories, rented from United rentals. 400 kw load banks were extended for 4 weeks, but the 25000 kw load bank was not, only used for 4 weeks.</t>
  </si>
  <si>
    <t>total for 8 weeks</t>
  </si>
  <si>
    <t>ASSEMBLY/DISMANTLE LABOR MASTER TECHS FOR SET UP &amp; TESTING</t>
  </si>
  <si>
    <t>Derivation of how prices were calculated</t>
  </si>
  <si>
    <t>Encore pricing broken out</t>
  </si>
  <si>
    <t>25000 kw Loadbank + accessories 4 week rental</t>
  </si>
  <si>
    <t>400kw Loadbanks 8 week rental</t>
  </si>
  <si>
    <t>Accessories 8 Weeks</t>
  </si>
  <si>
    <t>Accessories 4 weeks</t>
  </si>
  <si>
    <t>Delivery/Pickup/Assembly</t>
  </si>
  <si>
    <t>400kw Loadbanks + accessories 8 week rental</t>
  </si>
  <si>
    <t>check</t>
  </si>
  <si>
    <t>Encore Pricing for total Load Banking Equipment before fees</t>
  </si>
  <si>
    <t>United Rentals Total</t>
  </si>
  <si>
    <t>Cost of Delivery + Pickup + Assembly</t>
  </si>
  <si>
    <t>Cost of Deliv. Pickup &amp; Assembly</t>
  </si>
  <si>
    <t># of jobs</t>
  </si>
  <si>
    <t>Delivery, Pickup, Assembly</t>
  </si>
  <si>
    <t>Rental Income</t>
  </si>
  <si>
    <t>Average cost of deliv. Pickup, assembly</t>
  </si>
  <si>
    <t>Labor</t>
  </si>
  <si>
    <t>Weeks on Site</t>
  </si>
  <si>
    <t>400 KW Load Banks spares</t>
  </si>
  <si>
    <t>Weeks on site</t>
  </si>
  <si>
    <t>400 Kw Load Banks Spares</t>
  </si>
  <si>
    <t>600 Kw Load Banks Spares</t>
  </si>
  <si>
    <t>600 KW Spares</t>
  </si>
  <si>
    <t>w/Encore upcharge &amp; labor</t>
  </si>
  <si>
    <t>Spares Required</t>
  </si>
  <si>
    <t>1 Year Visualized</t>
  </si>
  <si>
    <t>400 Kw LBs</t>
  </si>
  <si>
    <t>Size of Fleet</t>
  </si>
  <si>
    <t>Week Number</t>
  </si>
  <si>
    <t>On Big Job</t>
  </si>
  <si>
    <t>On Small Job</t>
  </si>
  <si>
    <t>Being Serviced</t>
  </si>
  <si>
    <t>LBC Remote</t>
  </si>
  <si>
    <t>ASCO</t>
  </si>
  <si>
    <t>Green = ASCO</t>
  </si>
  <si>
    <t>Blue = LBD</t>
  </si>
  <si>
    <t>Rental Assumptions</t>
  </si>
  <si>
    <t>400 Kw 4 wk rate</t>
  </si>
  <si>
    <t>3000 Kw 4 wk rate</t>
  </si>
  <si>
    <t>Budget</t>
  </si>
  <si>
    <t>Sum of LBs used</t>
  </si>
  <si>
    <t>400K rented</t>
  </si>
  <si>
    <t>3000Kw rented</t>
  </si>
  <si>
    <t>LBs*Weeks</t>
  </si>
  <si>
    <t>SUM All</t>
  </si>
  <si>
    <t>Sum Rented</t>
  </si>
  <si>
    <t>Total fleet size</t>
  </si>
  <si>
    <t>Revenue</t>
  </si>
  <si>
    <t>Gross profit</t>
  </si>
  <si>
    <t>EBITDA</t>
  </si>
  <si>
    <t>Investment Effect on Income Statement</t>
  </si>
  <si>
    <t>Construction Revenue</t>
  </si>
  <si>
    <t>Cost of Goods Sold</t>
  </si>
  <si>
    <t>Repairs and Maintenance Expense</t>
  </si>
  <si>
    <t>Depreciation Expense</t>
  </si>
  <si>
    <t>EBIT</t>
  </si>
  <si>
    <t>Depreciation Method</t>
  </si>
  <si>
    <t>SL</t>
  </si>
  <si>
    <t>Depreciation</t>
  </si>
  <si>
    <t>Useful Life</t>
  </si>
  <si>
    <t>Salvage Value</t>
  </si>
  <si>
    <t>Growth Rates</t>
  </si>
  <si>
    <t>Rental Income Rate</t>
  </si>
  <si>
    <t>Shipping Rate</t>
  </si>
  <si>
    <t>Storage Expenses</t>
  </si>
  <si>
    <t>Storage Rate</t>
  </si>
  <si>
    <t>Present Value</t>
  </si>
  <si>
    <t>Cash Flow</t>
  </si>
  <si>
    <t>3000 KW Accessories</t>
  </si>
  <si>
    <t>Needed?</t>
  </si>
  <si>
    <t>What we already own</t>
  </si>
  <si>
    <t>Accesory</t>
  </si>
  <si>
    <t>Load Bank Test Tap Boxes</t>
  </si>
  <si>
    <t>Condition</t>
  </si>
  <si>
    <t>ASCO Offering</t>
  </si>
  <si>
    <t>400 KW Accessories</t>
  </si>
  <si>
    <t>?</t>
  </si>
  <si>
    <t>Included with Purchase</t>
  </si>
  <si>
    <t>Sigma 2 Digital Control Module</t>
  </si>
  <si>
    <t>Notes</t>
  </si>
  <si>
    <t>Base platform includes control module and interface panel to connect either to PC and IHT. NOTE: IHT and interconnect cables are supplied in a kit, sold separately. Review Kit Descriptions below for any quoted kits.</t>
  </si>
  <si>
    <t>Trailer</t>
  </si>
  <si>
    <t>10,000 Pound Gross Vehicle Weight Capacity</t>
  </si>
  <si>
    <t>Trailer Features: Mating vehicle connectors, Electric Brakes, 3" I.D. adjustable lunnette eye hitch, 1 front tounge jack, 2 rear stabalizer jacks, safety chains and hooks</t>
  </si>
  <si>
    <t>Electric Load Cabel Reel</t>
  </si>
  <si>
    <t>12 VDC or 120 VAC</t>
  </si>
  <si>
    <t>Each reel is capable of storing approximately 1000 feet of # 4/0 AWG customer furnished load cable. Reel(s) will be installed on the trailer.</t>
  </si>
  <si>
    <t>Locking Cable Reel Security Cover</t>
  </si>
  <si>
    <t>Sold Seperately</t>
  </si>
  <si>
    <t>Sigma 2 Intelligent Hand-Held Terminal &amp; Control Interconnection Cable</t>
  </si>
  <si>
    <t>Unit Price</t>
  </si>
  <si>
    <t>10 meter Cable</t>
  </si>
  <si>
    <t>The IHT provides control and monitoring of the load bank. Connected to the load bank via interconnection cable to interface panel.</t>
  </si>
  <si>
    <t>Warranty</t>
  </si>
  <si>
    <t>No</t>
  </si>
  <si>
    <t>Shipment Time (Wks)</t>
  </si>
  <si>
    <t>Hardware Interface Device</t>
  </si>
  <si>
    <t>Device Connects Sigma 2 to Sigma LT, Sigma LT and Sigma 2 to Modbus Ethernet. Latest firmware and guide available on website.</t>
  </si>
  <si>
    <t>Nothing</t>
  </si>
  <si>
    <t>Sigma LT Hand-Held Controller</t>
  </si>
  <si>
    <t>Sigma LT Communicatio nInterface Cable</t>
  </si>
  <si>
    <t>10 meter cable</t>
  </si>
  <si>
    <t>Connects the load bank to the SIGMA LT Hand-Held Touch Screen Controller</t>
  </si>
  <si>
    <t>Includes 13 Cables with quick disconnect receptacles on one end and 1/2" ring lug on other. Set includes ground cable.</t>
  </si>
  <si>
    <t>Cable Reels (Manual or Electric)</t>
  </si>
  <si>
    <t>Cable Reel Security Cover(s)</t>
  </si>
  <si>
    <t>Lockable Storage Box</t>
  </si>
  <si>
    <t>SIGMA 2 Digital Controls</t>
  </si>
  <si>
    <t>Spare Tire</t>
  </si>
  <si>
    <t>Solar Battery Charger</t>
  </si>
  <si>
    <t>Hydraulic Brakes</t>
  </si>
  <si>
    <t>2 5/16 Ball Hitch (3" Pintle Standard)</t>
  </si>
  <si>
    <t>Custom Powder Coat Paint Finish</t>
  </si>
  <si>
    <t>Optional Accessories for 400 KW Unit</t>
  </si>
  <si>
    <t>Accessory</t>
  </si>
  <si>
    <t>Load Bank Direct Offerings</t>
  </si>
  <si>
    <t>Digital Power Meter</t>
  </si>
  <si>
    <t>Fully Equipped, 3-phase Digital Power Metering System that measures a standard range of 16 load parameters. Includes RS485 (Modbus protocol) for remote reading - compatible with PC, PLC, and data loggers.</t>
  </si>
  <si>
    <t>HHC can be connected and positioned up to 5000 feet from test area over a single RS-485 cable.</t>
  </si>
  <si>
    <t>Handheld Digital Controller (HHC): Remote HHC Digital Controller with Backlit liquid crystal display offers superior viewing for both bright and dim light conditions.</t>
  </si>
  <si>
    <t>LBC RCBLE 50</t>
  </si>
  <si>
    <t>50 foot (15 meter) long extension cable for connnecting load bank to HHC</t>
  </si>
  <si>
    <t>50Ft Cable Set</t>
  </si>
  <si>
    <t>Qty. 6 of 4/0 AWG load cables (Qty. 2 per phase) and Qty. 1 of 4/0 AWG ground cable, each 50’ long, equipped with Cam-Lok power connector ends for quick connectivity (M/F). Cable’s Cam-Lok connectors are color-coded.</t>
  </si>
  <si>
    <t>Enclosed Cable Reels</t>
  </si>
  <si>
    <t>50 Ft Cable Set</t>
  </si>
  <si>
    <t>Motorized Load Cable Reel(s) mounted to the trailer.  Each reel shall have the capability of storing 4/0 power cable.  Cable reels shall be enclosed with lockable door.</t>
  </si>
  <si>
    <t>NOMINAL WRAP CAPACITY, PER CABLE REEL: 1100’</t>
  </si>
  <si>
    <t>Requires a communication interface cable to connect to load bank. Up to 25 SIGMALT load banks can be strategically placed in a Data Centre hall and controlled by a single hand-held.</t>
  </si>
  <si>
    <t>4.3" color touch screen. Load can be applied proportionally to all load banks in the network to provide a uniform temperature rise or alternatively, load can be adjusted on specific load banks.</t>
  </si>
  <si>
    <t xml:space="preserve">Qty. 36 of 4/0 AWG load cables (12 per phase) and 4 of 4/0 AWG ground cable, each 50’ long, equipped with Cam-Lok power connector ends for quick connectivity (M/F). Cable’s Cam-Lok connectors are color-coded for safe and easy phase identification. </t>
  </si>
  <si>
    <t>Construction Savings</t>
  </si>
  <si>
    <t>Asset Purchase</t>
  </si>
  <si>
    <t>-</t>
  </si>
  <si>
    <t>Equipment Rental</t>
  </si>
  <si>
    <t>Other</t>
  </si>
  <si>
    <t>Historicals</t>
  </si>
  <si>
    <t>Forecasts</t>
  </si>
  <si>
    <t>Year of Investment Life</t>
  </si>
  <si>
    <t>Freight/Trucking</t>
  </si>
  <si>
    <t>Construction</t>
  </si>
  <si>
    <t>Operating Expenses</t>
  </si>
  <si>
    <t>Repairs and Maintenance</t>
  </si>
  <si>
    <t>Other Income</t>
  </si>
  <si>
    <t>Amortization</t>
  </si>
  <si>
    <t>GP Margin</t>
  </si>
  <si>
    <t>EBITDA Margin</t>
  </si>
  <si>
    <t>EBIT Margin</t>
  </si>
  <si>
    <t>Storage Assumptions</t>
  </si>
  <si>
    <t>3000 Kw Parked Outside?</t>
  </si>
  <si>
    <t>% of empty space in facility</t>
  </si>
  <si>
    <t>EBIT/Interest</t>
  </si>
  <si>
    <t>Interest Expense</t>
  </si>
  <si>
    <t>In Storage</t>
  </si>
  <si>
    <t>Sum all besides storage</t>
  </si>
  <si>
    <t>Sum Besides Rented + Storage</t>
  </si>
  <si>
    <t>3000 Kw LBs</t>
  </si>
  <si>
    <t>State of the World</t>
  </si>
  <si>
    <t>% rented when available</t>
  </si>
  <si>
    <t>Rental Income year 1</t>
  </si>
  <si>
    <t>Rental Prices</t>
  </si>
  <si>
    <t>Invariant Assumptions</t>
  </si>
  <si>
    <t>LB Ann. Expense</t>
  </si>
  <si>
    <t>Revenue Growth</t>
  </si>
  <si>
    <t>Key Ratios</t>
  </si>
  <si>
    <t>cell</t>
  </si>
  <si>
    <t>lastmodifed</t>
  </si>
  <si>
    <t>Method</t>
  </si>
  <si>
    <t>Straight Line</t>
  </si>
  <si>
    <t>Impairment Charge</t>
  </si>
  <si>
    <t>Realized Useful Life</t>
  </si>
  <si>
    <t>Assumed Useful life</t>
  </si>
  <si>
    <t>Polaris Shipping Quotes</t>
  </si>
  <si>
    <t>Destination</t>
  </si>
  <si>
    <t>Origin</t>
  </si>
  <si>
    <t>Total Price</t>
  </si>
  <si>
    <t># of Trucks</t>
  </si>
  <si>
    <t>Price per Truck</t>
  </si>
  <si>
    <t>Quincy</t>
  </si>
  <si>
    <t>Pricing of a "dedicated truck" with nothing else on it</t>
  </si>
  <si>
    <t>RGN Trailer carrying the load bank. Polaris will not offer to tow this behind the truck due to insurance issues.</t>
  </si>
  <si>
    <t>400K Shipping</t>
  </si>
  <si>
    <t>3000K Shipping</t>
  </si>
  <si>
    <t>Trips per Yr.</t>
  </si>
  <si>
    <t># of 66 Trips</t>
  </si>
  <si>
    <t># of 4 Trips</t>
  </si>
  <si>
    <t># of ~ 50 trips</t>
  </si>
  <si>
    <t>Capitlizable Costs</t>
  </si>
  <si>
    <t>Impairment</t>
  </si>
  <si>
    <t>Equipment</t>
  </si>
  <si>
    <t>100KW A/C RESISTIVE LOAD BANK 150.00 150.00 375.00 1125.00 1500.00
1150020</t>
  </si>
  <si>
    <t>400KW A/C RESISTIVE LOAD BANK</t>
  </si>
  <si>
    <t>50 foot Banded 4-Wire</t>
  </si>
  <si>
    <t>Tax</t>
  </si>
  <si>
    <t>Price per Unit</t>
  </si>
  <si>
    <t>Weeks Used</t>
  </si>
  <si>
    <t>State</t>
  </si>
  <si>
    <t>Best Case</t>
  </si>
  <si>
    <t>Most Likely Case</t>
  </si>
  <si>
    <t>Capitalizable Costs</t>
  </si>
  <si>
    <t>Data Center Projects</t>
  </si>
  <si>
    <t>Outfit Projects</t>
  </si>
  <si>
    <t>Data Center Project Assumptions</t>
  </si>
  <si>
    <t>Outfit Project Assumptions</t>
  </si>
  <si>
    <t>Worst Case</t>
  </si>
  <si>
    <t>Tax Shield</t>
  </si>
  <si>
    <t>Deprec. Method</t>
  </si>
  <si>
    <t>Applicable MACRS %</t>
  </si>
  <si>
    <t>Rate: rt</t>
  </si>
  <si>
    <t>Year t</t>
  </si>
  <si>
    <t>3-year</t>
  </si>
  <si>
    <t>5-year</t>
  </si>
  <si>
    <t>7-Year</t>
  </si>
  <si>
    <t>Tax Savings</t>
  </si>
  <si>
    <t>Tax Rate</t>
  </si>
  <si>
    <t>Cost of Accessories Per week</t>
  </si>
  <si>
    <t>LB Income</t>
  </si>
  <si>
    <t>Deliv. + Pickup</t>
  </si>
  <si>
    <t>Cost of Accessories per wk per lb</t>
  </si>
  <si>
    <t>Cost of Accessories per week</t>
  </si>
  <si>
    <t>per week per lb</t>
  </si>
  <si>
    <t>400 KW delivery pickup per lb</t>
  </si>
  <si>
    <t>300 KW delivery pickup per lb</t>
  </si>
  <si>
    <t>400 kw delivery &amp; pickup charges</t>
  </si>
  <si>
    <t>3000 kw delivery &amp; pickup charges</t>
  </si>
  <si>
    <t>Total Income</t>
  </si>
  <si>
    <t>Spares Sent</t>
  </si>
  <si>
    <t>% of fleet demanded</t>
  </si>
  <si>
    <t>Proxy for Outfit</t>
  </si>
  <si>
    <t>Proxy for Data Center Project</t>
  </si>
  <si>
    <t>Data Center Job Characteristics</t>
  </si>
  <si>
    <t>100 Kw Load Banks Spares</t>
  </si>
  <si>
    <t>Sunbelt</t>
  </si>
  <si>
    <t>100 Kw</t>
  </si>
  <si>
    <t>Prorated Tax</t>
  </si>
  <si>
    <t>After Tax Cost</t>
  </si>
  <si>
    <t>No Tax</t>
  </si>
  <si>
    <t>PV of Tax Savings</t>
  </si>
  <si>
    <t>Internal Rental Charge</t>
  </si>
  <si>
    <t>Gross Profit</t>
  </si>
  <si>
    <t>SG&amp;A Growth</t>
  </si>
  <si>
    <t>On Site?</t>
  </si>
  <si>
    <t>Ship To Left</t>
  </si>
  <si>
    <t>Ship To Here?</t>
  </si>
  <si>
    <t>Total Ship To's</t>
  </si>
  <si>
    <t>Jobs Left</t>
  </si>
  <si>
    <t>Total Jobs</t>
  </si>
  <si>
    <t>Job Started?</t>
  </si>
  <si>
    <t>Job Completed?</t>
  </si>
  <si>
    <t>Days Left in Job</t>
  </si>
  <si>
    <t>Ship From Here/</t>
  </si>
  <si>
    <t>Summary Section</t>
  </si>
  <si>
    <t>400Kw Shipping</t>
  </si>
  <si>
    <t>Fedora Ft. Worth</t>
  </si>
  <si>
    <t>Required LBs</t>
  </si>
  <si>
    <t>400 KW On Big Job</t>
  </si>
  <si>
    <t>400 KW On Small Job</t>
  </si>
  <si>
    <t>Data Center Jobs per Year</t>
  </si>
  <si>
    <t>Fit-Out Jobs per Year</t>
  </si>
  <si>
    <t>Being Serviced?</t>
  </si>
  <si>
    <t>400 KW Being Serviced</t>
  </si>
  <si>
    <t>Required 400 Kws</t>
  </si>
  <si>
    <t>Required 3000 Kws</t>
  </si>
  <si>
    <t>3000 Kw on Big Job</t>
  </si>
  <si>
    <t>3000 KW serviced</t>
  </si>
  <si>
    <t>Big Job</t>
  </si>
  <si>
    <t>Small Job</t>
  </si>
  <si>
    <t>Out-fit Job Characteristics</t>
  </si>
  <si>
    <t>TAX</t>
  </si>
  <si>
    <t>Load Banks</t>
  </si>
  <si>
    <t>Accessory Name</t>
  </si>
  <si>
    <t>400/ 600 KW Accessories</t>
  </si>
  <si>
    <t>Qty Per Loadbank</t>
  </si>
  <si>
    <t>Total Qty</t>
  </si>
  <si>
    <t>50' NETWORK CABLES</t>
  </si>
  <si>
    <t>LDBK REMOTE, TABLET (LBC-HHS1)</t>
  </si>
  <si>
    <t>MASTER COMPUTER</t>
  </si>
  <si>
    <t>8-PORT ETHERNET SWITCH</t>
  </si>
  <si>
    <t>LDBK Connector</t>
  </si>
  <si>
    <t>Remote To Pod Cable</t>
  </si>
  <si>
    <t>SINGLE PORT USB TO ETHERNET SWITCHUSB A TO B CABLE</t>
  </si>
  <si>
    <t>Cable 4/0 AWG 400 Amp 50' CAM</t>
  </si>
  <si>
    <t>50' Network Cables</t>
  </si>
  <si>
    <t>SAT 46 Load Bank Accessories</t>
  </si>
  <si>
    <t>CYS08 Load Bank Accessories</t>
  </si>
  <si>
    <t>Needed on Both Jobs</t>
  </si>
  <si>
    <t>CAT6 CABLES</t>
  </si>
  <si>
    <t>Needed on Both?</t>
  </si>
  <si>
    <t>AVG Qty Per Loadbank</t>
  </si>
  <si>
    <t>CABLE, MASTER SLAVE 50FT (LBC-MSC-50)</t>
  </si>
  <si>
    <t>ETHERNET POD (LBC-485-ETHNT)</t>
  </si>
  <si>
    <t>REMOTE CABLE 50FT
(LBC-RCBLE-50)</t>
  </si>
  <si>
    <t>CABLES, MASTER SLAVE 25FT
(LBC-MSC-25)</t>
  </si>
  <si>
    <t>CABLE, MASTER SLAVE 50ft (LBC-MSC-50)</t>
  </si>
  <si>
    <t>Model 3000 KW</t>
  </si>
  <si>
    <t>Model 400 KW</t>
  </si>
  <si>
    <t>Accessories Needed</t>
  </si>
  <si>
    <t>Qty Per LB</t>
  </si>
  <si>
    <t>50 Ft 4/0 Cable Set</t>
  </si>
  <si>
    <t>LBC Cable 50 foot Networkable</t>
  </si>
  <si>
    <t>LBC Cable 50 Ft Networkable</t>
  </si>
  <si>
    <t>Price Per 1 Item</t>
  </si>
  <si>
    <t>Need Fulfilled?</t>
  </si>
  <si>
    <t>Qty Needed</t>
  </si>
  <si>
    <t>3000 kw LBs</t>
  </si>
  <si>
    <t>400 kw Lbs</t>
  </si>
  <si>
    <t>Pricer Per 1 Item</t>
  </si>
  <si>
    <t>Total Accessories Cost</t>
  </si>
  <si>
    <t>Sigma 2 Controller</t>
  </si>
  <si>
    <t>Electric Load Cable Reel</t>
  </si>
  <si>
    <t>Terminal &amp; Control Cable</t>
  </si>
  <si>
    <t>Communication Interface Cable</t>
  </si>
  <si>
    <t>20' Cable Load Set</t>
  </si>
  <si>
    <t>30' Cable Load Set</t>
  </si>
  <si>
    <t>Complimentary?</t>
  </si>
  <si>
    <t>Accessory Pricing</t>
  </si>
  <si>
    <t>Source</t>
  </si>
  <si>
    <t>https://www.stagelightingstore.com/lex-feeder-cable-1/97254-lex-400-amp-cam-type-4-0-awg-type-sc-cable-extension-50-?gclid=Cj0KCQjw3IqSBhCoARIsAMBkTb1tZZujrjfMS5wJ2C09YLX2c0NVT-cBTNZiZrWKKH13jgawWaEUNH0aAuv_EALw_wcB#/1688-lex_color_options-white?utm_source=google&amp;utm_medium=base&amp;utm_campaign=products&amp;leadsource=14</t>
  </si>
  <si>
    <t>https://cables4sure.com/cat5e-patch-cables-300ft/1298-300ft-cat5e-ethernet-copper-cable-blue.html?gclid=Cj0KCQjw3IqSBhCoARIsAMBkTb0cSM4mpOFfcwjE-ID4wA37OwbOo6Ns3BpyuoDBRm9-f70Fy3_XrTwaAh19EALw_wcB</t>
  </si>
  <si>
    <t>https://www.amazon.com/NETGEAR-8-Port-Gigabit-Ethernet-Unmanaged/dp/B07PFYM5MZ/ref=asc_df_B07PFYM5MZ/?tag=&amp;linkCode=df0&amp;hvadid=343224652930&amp;hvpos=&amp;hvnetw=g&amp;hvrand=18397481473242469052&amp;hvpone=&amp;hvptwo=&amp;hvqmt=&amp;hvdev=c&amp;hvdvcmdl=&amp;hvlocint=&amp;hvlocphy=9007574&amp;hvtargid=pla-729340060977&amp;ref=&amp;adgrpid=71764766791&amp;th=1</t>
  </si>
  <si>
    <t>Length ft</t>
  </si>
  <si>
    <t>Width ft</t>
  </si>
  <si>
    <t>Height ft</t>
  </si>
  <si>
    <t>https://www.mouser.com/ProductDetail/Brainboxes/SW-005?qs=BJlw7L4Cy7944%2FIWYfp8eA%3D%3D&amp;mgh=1&amp;gclid=Cj0KCQjw3IqSBhCoARIsAMBkTb2e3_RwRQzOcL_EGPrusLiIUY_1Fzls15Qwlgnmt7cpB_VPmJmQx5MaAtEHEALw_wcB</t>
  </si>
  <si>
    <t>Supplier Offer</t>
  </si>
  <si>
    <t>Alternative</t>
  </si>
  <si>
    <t>Actual Unit Price</t>
  </si>
  <si>
    <t>Year 1 Charge</t>
  </si>
  <si>
    <t>Complimentary Qty</t>
  </si>
  <si>
    <t>Master Computer</t>
  </si>
  <si>
    <t>Remote Cable</t>
  </si>
  <si>
    <t>Missing stuff from quote</t>
  </si>
  <si>
    <t>Slave cable</t>
  </si>
  <si>
    <t>Rental Related Calcs</t>
  </si>
  <si>
    <t>3000KW Shipping</t>
  </si>
  <si>
    <t>400 kw free</t>
  </si>
  <si>
    <t>3000 kw free</t>
  </si>
  <si>
    <t>Required free weeks to rent</t>
  </si>
  <si>
    <t>400 kw free for weeks?</t>
  </si>
  <si>
    <t>3000 kw free for weeks?</t>
  </si>
  <si>
    <t>Start Rental Project?</t>
  </si>
  <si>
    <t>Finished Rental Project</t>
  </si>
  <si>
    <t>Days left on job</t>
  </si>
  <si>
    <t>Ship to Here</t>
  </si>
  <si>
    <t>Ship from Here</t>
  </si>
  <si>
    <t>400 rental Shipping</t>
  </si>
  <si>
    <t>3000 rental Shipping</t>
  </si>
  <si>
    <t>Maintenance?</t>
  </si>
  <si>
    <t>Rental Maintenance</t>
  </si>
  <si>
    <t>400 rented form others</t>
  </si>
  <si>
    <t>3000 kw rented from others</t>
  </si>
  <si>
    <t>Rented from Others to Compensate Shortfall</t>
  </si>
  <si>
    <t>LB Cost</t>
  </si>
  <si>
    <t>Extrapolated Pricing for different load sizes</t>
  </si>
  <si>
    <t>distance</t>
  </si>
  <si>
    <t>Total Weeks Needed</t>
  </si>
  <si>
    <t>Feasibility of Solution</t>
  </si>
  <si>
    <t>Satisfies Budget Constraint?</t>
  </si>
  <si>
    <t>Satisfies Sq ft. Constraint?</t>
  </si>
  <si>
    <t>Satisfies Time Constraint?</t>
  </si>
  <si>
    <t>Total Budget</t>
  </si>
  <si>
    <t>Max 400kw on 1 truck</t>
  </si>
  <si>
    <t>Supplier SQFT</t>
  </si>
  <si>
    <t>Alternate SQFT</t>
  </si>
  <si>
    <t>Actual SQ FT</t>
  </si>
  <si>
    <t>Total SQFT</t>
  </si>
  <si>
    <t>Total Sq FT</t>
  </si>
  <si>
    <t>complimentary sqft</t>
  </si>
  <si>
    <t>Being rented</t>
  </si>
  <si>
    <t>true available</t>
  </si>
  <si>
    <t>We Rent</t>
  </si>
  <si>
    <t>Labor Category</t>
  </si>
  <si>
    <t>No. Staff</t>
  </si>
  <si>
    <t>Total Hours</t>
  </si>
  <si>
    <t>Total Hrs</t>
  </si>
  <si>
    <t>Hourly Rate</t>
  </si>
  <si>
    <t>OTS - Controls Tech</t>
  </si>
  <si>
    <t># LBs</t>
  </si>
  <si>
    <t>Hours Required to Service 1 LB</t>
  </si>
  <si>
    <t>Load Bank Maintenance Labor Portion</t>
  </si>
  <si>
    <t>Load Bank Maintenance Parts Portion</t>
  </si>
  <si>
    <t>% of LBs which need new parts</t>
  </si>
  <si>
    <t>Cost of new parts as % of purchase price</t>
  </si>
  <si>
    <t># of LBs</t>
  </si>
  <si>
    <t># of total LBs</t>
  </si>
  <si>
    <t>400 Kw purchase price</t>
  </si>
  <si>
    <t>Cost of new parts in $ terms</t>
  </si>
  <si>
    <t>New Parts Cost</t>
  </si>
  <si>
    <t># of LBs needing parts replaced</t>
  </si>
  <si>
    <t>Total Parts Cost</t>
  </si>
  <si>
    <t>Total Labor Cost</t>
  </si>
  <si>
    <t>Parts</t>
  </si>
  <si>
    <t>LBs serviced</t>
  </si>
  <si>
    <t>Cost Per</t>
  </si>
  <si>
    <t>Total Labor, Parts, &amp; Electricity</t>
  </si>
  <si>
    <t>% of full load</t>
  </si>
  <si>
    <t>Length of Test (hrs)</t>
  </si>
  <si>
    <t>Kws</t>
  </si>
  <si>
    <t>Kw at full load</t>
  </si>
  <si>
    <t>Kw per hour rate</t>
  </si>
  <si>
    <t>Cost per 1 LB</t>
  </si>
  <si>
    <t>Total Electricity Cost</t>
  </si>
  <si>
    <t>KW per Hour usage</t>
  </si>
  <si>
    <t>Load Bank Maintenance Electricity Cost Portion</t>
  </si>
  <si>
    <t>Rate from C09 Estimate</t>
  </si>
  <si>
    <t>Purchase Assumptions</t>
  </si>
  <si>
    <t>Buying 3000 KW From</t>
  </si>
  <si>
    <t>Buying 400 KW From</t>
  </si>
  <si>
    <t>type</t>
  </si>
  <si>
    <t>4 week rate</t>
  </si>
  <si>
    <t>total cost</t>
  </si>
  <si>
    <t>600 kw</t>
  </si>
  <si>
    <t>400 kw</t>
  </si>
  <si>
    <t>total</t>
  </si>
  <si>
    <t>Spare Load Banks</t>
  </si>
  <si>
    <t>total acc</t>
  </si>
  <si>
    <t>subtotal</t>
  </si>
  <si>
    <t>pickup charge</t>
  </si>
  <si>
    <t>Weeks Extended</t>
  </si>
  <si>
    <t>Accessories Cost</t>
  </si>
  <si>
    <t>Delivery Pickup Cost</t>
  </si>
  <si>
    <t>Base Cost</t>
  </si>
  <si>
    <t>Average</t>
  </si>
  <si>
    <t>400 Kw/ 600 Kw Spares Required</t>
  </si>
  <si>
    <t>More accessories ordered from Sunbelt Rentals</t>
  </si>
  <si>
    <t>qty</t>
  </si>
  <si>
    <t>250 Amp Taps</t>
  </si>
  <si>
    <t>1 week rate</t>
  </si>
  <si>
    <t>weeks rented</t>
  </si>
  <si>
    <t>Delivery</t>
  </si>
  <si>
    <t>Pickup</t>
  </si>
  <si>
    <t>sub</t>
  </si>
  <si>
    <t>Starline Busway 250AMP Tap</t>
  </si>
  <si>
    <t>4/0 x 50' CABLES</t>
  </si>
  <si>
    <t>Satisfies Budget?</t>
  </si>
  <si>
    <t>Satisfies CX time?</t>
  </si>
  <si>
    <t>Satisfies Sq ft?</t>
  </si>
  <si>
    <t>Lower Bound</t>
  </si>
  <si>
    <t>Upper Bound</t>
  </si>
  <si>
    <t>All Dollar Amounts in Thousands</t>
  </si>
  <si>
    <t>Bonus</t>
  </si>
  <si>
    <t>Incremental Investment Effect on Income Statement</t>
  </si>
  <si>
    <t>Intercompany Rental</t>
  </si>
  <si>
    <t>Case</t>
  </si>
  <si>
    <t>Rental Revenue</t>
  </si>
  <si>
    <t>Total Revenue</t>
  </si>
  <si>
    <t>Total Profit</t>
  </si>
  <si>
    <t>Total Savings to Construction</t>
  </si>
  <si>
    <t>Rental to Compensate shortfall</t>
  </si>
  <si>
    <t>Pre-Inv. Ann. Rental Cost</t>
  </si>
  <si>
    <t>CPG Job Related Shipping</t>
  </si>
  <si>
    <t>Rental to Others Related Shipping</t>
  </si>
  <si>
    <t>Grand Total</t>
  </si>
  <si>
    <t>Rental Subtotal</t>
  </si>
  <si>
    <t>CPG subtotal</t>
  </si>
  <si>
    <t>D &amp; P per LB/2</t>
  </si>
  <si>
    <t>D &amp; P per lb/2</t>
  </si>
  <si>
    <t>Accessories per week per lb</t>
  </si>
  <si>
    <t>Model Assumptions</t>
  </si>
  <si>
    <t>Demand for 3000 KW unit?</t>
  </si>
  <si>
    <t>Rates able to charge to others?</t>
  </si>
  <si>
    <t>Rates charged on 400 kw unit per 4 wks</t>
  </si>
  <si>
    <t>Rates Charged on 3000 Kw unit per 4 wks</t>
  </si>
  <si>
    <t>Type of Customers who rent from us?</t>
  </si>
  <si>
    <t>Smaller Customers, doing fit out projects similar to Fedora Ft. Worth or Fedora Manassas</t>
  </si>
  <si>
    <t>Same as we paid to United Rentals on our most recent Outfit Project (Ft. Worth)</t>
  </si>
  <si>
    <t>Length (wks) of projects we rent to</t>
  </si>
  <si>
    <t>Renting Assumptions</t>
  </si>
  <si>
    <t>Assumed Useful Life</t>
  </si>
  <si>
    <t>Method on Financial Statements</t>
  </si>
  <si>
    <t>Method on Tax Statements</t>
  </si>
  <si>
    <t>Bonus Depreciation</t>
  </si>
  <si>
    <t>Outfit Jobs awarded per year?</t>
  </si>
  <si>
    <t>N/A Ecomies of scale don't exist to save money by using our own load banks to commision these jobs</t>
  </si>
  <si>
    <t>CPG Building Opportunities</t>
  </si>
  <si>
    <t>Fleet Size</t>
  </si>
  <si>
    <t>400 KWs</t>
  </si>
  <si>
    <t>3000 KWs</t>
  </si>
  <si>
    <t>Is leftover square footage used by another project?</t>
  </si>
  <si>
    <t>Can the 3000 kw unit be parked outside?</t>
  </si>
  <si>
    <t>Shipping Assumptions</t>
  </si>
  <si>
    <t>Source for Rates?</t>
  </si>
  <si>
    <t>Same in all cases</t>
  </si>
  <si>
    <t>same in all cases</t>
  </si>
  <si>
    <t>Quotes from Polaris Shipping. Trips from Dallas to Quincy Washington as a proxy.</t>
  </si>
  <si>
    <t>20 Mega-Watt Build projects awarded per year?</t>
  </si>
  <si>
    <t>Frequency of Data Center Sizes</t>
  </si>
  <si>
    <t>Mega Watts</t>
  </si>
  <si>
    <t>% of Whole</t>
  </si>
  <si>
    <t>Source For Data</t>
  </si>
  <si>
    <t>https://www.datacente.rs/</t>
  </si>
  <si>
    <t>% of all &lt; 25 Mw</t>
  </si>
  <si>
    <t>Rental Price</t>
  </si>
  <si>
    <t>Cost of Debt</t>
  </si>
  <si>
    <t>Copper</t>
  </si>
  <si>
    <t>Rental Margin Yr 1</t>
  </si>
  <si>
    <t>Cost</t>
  </si>
  <si>
    <t>Profit</t>
  </si>
  <si>
    <t>Data Center Jobs Yearly</t>
  </si>
  <si>
    <t>Fit-Out Jobs Yearly</t>
  </si>
  <si>
    <t>Fleet Space Required</t>
  </si>
  <si>
    <t>Cost of Debt Calculation</t>
  </si>
  <si>
    <t>CPG Revolving Debt = BSBY + 1.7%</t>
  </si>
  <si>
    <t>BSBY Overnight Rate as of 4/13/2022</t>
  </si>
  <si>
    <t>All Amounts in Thousands</t>
  </si>
  <si>
    <t>Total Hours to Test 1 Generator</t>
  </si>
  <si>
    <t>Gens Tested Per Week On Site (Per Lb)</t>
  </si>
  <si>
    <t>Weeks * Loadbanks in One year</t>
  </si>
  <si>
    <t>Load Bank Burn Hours per Year</t>
  </si>
  <si>
    <t>Burn Hours per LB per Year</t>
  </si>
  <si>
    <t>Lifespan of LB in Years</t>
  </si>
  <si>
    <t>LB Revenue</t>
  </si>
  <si>
    <t>Commentary on LB Rental Market</t>
  </si>
  <si>
    <t>Sources</t>
  </si>
  <si>
    <t>According to market reports, the load bank rental market is growing faster than the general economy at a comound annual growth rate of 5.6%.</t>
  </si>
  <si>
    <t>https://www.industryarc.com/Report/18489/load-bank-rental-market-research-report-analysis.html https://dataintelo.com/report/global-load-bank-rental-market/</t>
  </si>
  <si>
    <t>% of fleet rented out when available</t>
  </si>
  <si>
    <t>Square Feet Available in Facility?</t>
  </si>
  <si>
    <t>Price/Sq Ft</t>
  </si>
  <si>
    <t>Purchase Date</t>
  </si>
  <si>
    <t>LBD</t>
  </si>
  <si>
    <t>Lead Times (wks)</t>
  </si>
  <si>
    <t>None Provided</t>
  </si>
  <si>
    <t>Lead Time (wks)</t>
  </si>
  <si>
    <t>Investment Timing</t>
  </si>
  <si>
    <t>Date of Arrival</t>
  </si>
  <si>
    <t>Year End</t>
  </si>
  <si>
    <t>% of CFs in Yr 1</t>
  </si>
  <si>
    <t># of Burn hours until Service Required</t>
  </si>
  <si>
    <t># of LBs need Serviced per year</t>
  </si>
  <si>
    <t># LBs Serviced Ann.</t>
  </si>
  <si>
    <t>Load Bank Regular Maintenance Labor Portion</t>
  </si>
  <si>
    <t>Labor Cost</t>
  </si>
  <si>
    <t>Motor Lubricant Cost</t>
  </si>
  <si>
    <t>Recommended Brand</t>
  </si>
  <si>
    <t>MOBIL Polyrex EM</t>
  </si>
  <si>
    <t>Cost of Bottle 14 oz</t>
  </si>
  <si>
    <t>Ounces per LB</t>
  </si>
  <si>
    <t>Cost per LB</t>
  </si>
  <si>
    <t>Grease Cost</t>
  </si>
  <si>
    <t>Load Bank Special Maintenance Portion</t>
  </si>
  <si>
    <t>Load Bank Accessory Replacement Portion</t>
  </si>
  <si>
    <t>Cost of 4/o Cable</t>
  </si>
  <si>
    <t>Burn Hrs until cable needs replaced</t>
  </si>
  <si>
    <t>Brn Hrs per Lb</t>
  </si>
  <si>
    <t># of new cables</t>
  </si>
  <si>
    <t>Burn Hours Before Major Maintenance Required</t>
  </si>
  <si>
    <t>% of fleet needing significant maintenance</t>
  </si>
  <si>
    <t>Parts cost as % of purchase price</t>
  </si>
  <si>
    <t>Special Maintenance Cycle yrs</t>
  </si>
  <si>
    <t>Job Title</t>
  </si>
  <si>
    <t>Additional Personnel to manage logistics and sales?</t>
  </si>
  <si>
    <t>Burn Hours associated with rental</t>
  </si>
  <si>
    <t>% of total Burn hours</t>
  </si>
  <si>
    <t>Total Maintenance Cost Associated with Rental</t>
  </si>
  <si>
    <t>Additonal Salary Paid</t>
  </si>
  <si>
    <t>Additional Salary</t>
  </si>
  <si>
    <t>Employee Wages</t>
  </si>
  <si>
    <t>Rental Margin Full Yr. 1</t>
  </si>
  <si>
    <t>Wages</t>
  </si>
  <si>
    <t>BSBY Overnight throughout project</t>
  </si>
  <si>
    <t>Yes, but only for the first year</t>
  </si>
  <si>
    <t>Total Ann Hours</t>
  </si>
  <si>
    <t>Sales/misc</t>
  </si>
  <si>
    <t>SAT 46</t>
  </si>
  <si>
    <t>CYS08</t>
  </si>
  <si>
    <t>Weighted Average of 2 Jobs</t>
  </si>
  <si>
    <t>Weighting</t>
  </si>
  <si>
    <t>Freight</t>
  </si>
  <si>
    <t>Forecast</t>
  </si>
  <si>
    <t>CH Robinson</t>
  </si>
  <si>
    <t>North American Freight Rates</t>
  </si>
  <si>
    <t>US Core Inflation Forecast</t>
  </si>
  <si>
    <t>The Balance</t>
  </si>
  <si>
    <t>https://www.thebalance.com/us-economic-outlook-3305669</t>
  </si>
  <si>
    <t>US Core Inflation Forecasts</t>
  </si>
  <si>
    <t>https://www.chrobinson.com/en-us/resources/insights-and-advisories/north-america-freight-insights/</t>
  </si>
  <si>
    <t>Copper 6 year forecast</t>
  </si>
  <si>
    <t>ISA</t>
  </si>
  <si>
    <t>https://knoema.com/infographics/prujshc/copper</t>
  </si>
  <si>
    <t>Labor Costs</t>
  </si>
  <si>
    <t>FX street.com</t>
  </si>
  <si>
    <t>https://www.fxstreet.com/economic</t>
  </si>
  <si>
    <t>globennewswire.com</t>
  </si>
  <si>
    <t>https://www.globenewswire.com/news</t>
  </si>
  <si>
    <t>Sources for Forecasts</t>
  </si>
  <si>
    <t>Most Likely Forecasts</t>
  </si>
  <si>
    <t>Best Case Forecasts</t>
  </si>
  <si>
    <t>Worst Case Forecasts</t>
  </si>
  <si>
    <t>https://www.mordorintelligence.com/industry</t>
  </si>
  <si>
    <t>Mondor Intelligence</t>
  </si>
  <si>
    <t>Storage Costs</t>
  </si>
  <si>
    <t>Selected Case</t>
  </si>
  <si>
    <t>Avg. Growth Rates</t>
  </si>
  <si>
    <t>Special Maintenance</t>
  </si>
  <si>
    <t>Regular Maintenance</t>
  </si>
  <si>
    <t>Avg. Annual Growth Rates</t>
  </si>
  <si>
    <t>Justification for Rates</t>
  </si>
  <si>
    <t>Rates are based on analyst's economic forecasts of the industry/commodity. Absent a specific forecast, predictions of US inflation are used.</t>
  </si>
  <si>
    <t>Deviation from Most Likely Case</t>
  </si>
  <si>
    <t>Project Coordinator</t>
  </si>
  <si>
    <t>% of person needed in worst case</t>
  </si>
  <si>
    <t>True Cost</t>
  </si>
  <si>
    <t>3000 Kws</t>
  </si>
  <si>
    <t>400 Kws</t>
  </si>
  <si>
    <t>Explanation for not buying 3000 kws</t>
  </si>
  <si>
    <t>Due to their expensive freight costs (RGN Trailer is required to move them), and their smaller potential market to rent to third parties, buying a 3000 Kw unit has been shown to lower the NPV of the project in worst and most likely cases. However, purchasing a 3000 KW unit will have a small positive effect on EBITDA. This is because of incremental savings on the construction projects, lowering COGS. When considered together with the purchase price, the savings are an insufficient cash flow return. (Unless we win at least 2 projects a year, as in the best case scenario).</t>
  </si>
  <si>
    <t>NPV Summary</t>
  </si>
  <si>
    <t>Best</t>
  </si>
  <si>
    <t>Most Likely</t>
  </si>
  <si>
    <t>Worst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</si>
</sst>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1" formatCode="_(* #,##0_);_(* \(#,##0\);_(* &quot;-&quot;_);_(@_)"/>
    <numFmt numFmtId="44" formatCode="_(&quot;$&quot;* #,##0.00_);_(&quot;$&quot;* \(#,##0.00\);_(&quot;$&quot;* &quot;-&quot;??_);_(@_)"/>
    <numFmt numFmtId="43" formatCode="_(* #,##0.00_);_(* \(#,##0.00\);_(* &quot;-&quot;??_);_(@_)"/>
    <numFmt numFmtId="164" formatCode="_(* #,##0_);_(* \(#,##0\);_(* &quot;-&quot;??_);_(@_)"/>
    <numFmt numFmtId="165" formatCode="[$-409]mmm\-yy;@"/>
    <numFmt numFmtId="166" formatCode="_(* #,##0.0_);_(* \(#,##0.0\);_(* &quot;-&quot;??_);_(@_)"/>
    <numFmt numFmtId="167" formatCode="_(* #,##0.0_);_(* \(#,##0.0\);_(* &quot;-&quot;_);_(@_)"/>
    <numFmt numFmtId="168" formatCode="0.0%"/>
    <numFmt numFmtId="169" formatCode="_(* #,##0.0_);_(* \(#,##0.0\);_(* &quot;-&quot;?_);_(@_)"/>
    <numFmt numFmtId="170" formatCode="0;\-0;;@"/>
    <numFmt numFmtId="171" formatCode="#,##0.00;[Red]\ \ \-\ #,##0.00\ ;&quot;-&quot;"/>
    <numFmt numFmtId="172" formatCode="#,##0.00;[Red]\ \(#,##0.00\)\ ;&quot;-&quot;"/>
    <numFmt numFmtId="173" formatCode="0.000000"/>
    <numFmt numFmtId="174" formatCode="_(* #,##0.00_);_(* \(#,##0.00\);_(* &quot;-&quot;_);_(@_)"/>
    <numFmt numFmtId="175" formatCode="[$-409]d\-mmm\-yy;@"/>
    <numFmt numFmtId="176" formatCode="#,##0.0_);\(#,##0.0\)"/>
    <numFmt numFmtId="177" formatCode="_(&quot;$&quot;* #,##0,_);_(&quot;$&quot;* \(#,##0,\);_(&quot;$&quot;* &quot;-&quot;??_);_(@_)"/>
    <numFmt numFmtId="178" formatCode="_(* #,##0,_);[Red]_(* \(#,##0,\);_(* &quot;-&quot;??_);_(@_)"/>
    <numFmt numFmtId="179" formatCode="0.0"/>
  </numFmts>
  <fonts count="104">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0"/>
      <name val="Arial"/>
      <family val="2"/>
    </font>
    <font>
      <b/>
      <sz val="25"/>
      <color theme="0"/>
      <name val="Calibri"/>
      <family val="2"/>
      <scheme val="minor"/>
    </font>
    <font>
      <sz val="18"/>
      <color theme="0"/>
      <name val="Calibri"/>
      <family val="2"/>
      <scheme val="minor"/>
    </font>
    <font>
      <sz val="11"/>
      <color theme="1"/>
      <name val="Calibri Light"/>
      <family val="1"/>
      <scheme val="major"/>
    </font>
    <font>
      <b/>
      <sz val="11"/>
      <color theme="0"/>
      <name val="Calibri Light"/>
      <family val="1"/>
      <scheme val="major"/>
    </font>
    <font>
      <u/>
      <sz val="11"/>
      <color theme="0"/>
      <name val="Calibri Light"/>
      <family val="1"/>
      <scheme val="major"/>
    </font>
    <font>
      <u/>
      <sz val="12.65"/>
      <color theme="0"/>
      <name val="Calibri"/>
      <family val="2"/>
    </font>
    <font>
      <sz val="9"/>
      <name val="Geneva"/>
    </font>
    <font>
      <i/>
      <sz val="10"/>
      <name val="Geneva"/>
    </font>
    <font>
      <i/>
      <sz val="10"/>
      <name val="Times"/>
    </font>
    <font>
      <b/>
      <sz val="10"/>
      <color theme="0"/>
      <name val="Times"/>
    </font>
    <font>
      <i/>
      <sz val="10"/>
      <color theme="0"/>
      <name val="Times"/>
    </font>
    <font>
      <i/>
      <sz val="10"/>
      <color theme="0"/>
      <name val="Geneva"/>
    </font>
    <font>
      <sz val="10"/>
      <name val="Times"/>
    </font>
    <font>
      <sz val="10"/>
      <color rgb="FF0070C0"/>
      <name val="Times"/>
    </font>
    <font>
      <b/>
      <sz val="10"/>
      <name val="Times"/>
    </font>
    <font>
      <sz val="8"/>
      <color theme="1"/>
      <name val="Times New Roman"/>
      <family val="1"/>
    </font>
    <font>
      <sz val="10"/>
      <color theme="0"/>
      <name val="Times"/>
    </font>
    <font>
      <sz val="16"/>
      <color indexed="10"/>
      <name val="Arial"/>
      <family val="2"/>
    </font>
    <font>
      <sz val="11"/>
      <color theme="1"/>
      <name val="Arial"/>
      <family val="2"/>
    </font>
    <font>
      <b/>
      <sz val="11"/>
      <name val="Arial"/>
      <family val="2"/>
    </font>
    <font>
      <sz val="11"/>
      <color indexed="8"/>
      <name val="Calibri"/>
      <family val="2"/>
    </font>
    <font>
      <sz val="11"/>
      <color indexed="18"/>
      <name val="Arial"/>
      <family val="2"/>
    </font>
    <font>
      <sz val="11"/>
      <name val="Calibri"/>
      <family val="2"/>
    </font>
    <font>
      <sz val="11"/>
      <color indexed="17"/>
      <name val="Calibri"/>
      <family val="2"/>
    </font>
    <font>
      <sz val="11"/>
      <color indexed="8"/>
      <name val="Arial"/>
      <family val="2"/>
    </font>
    <font>
      <sz val="11"/>
      <name val="Arial"/>
      <family val="2"/>
    </font>
    <font>
      <b/>
      <sz val="11"/>
      <color theme="1"/>
      <name val="Arial"/>
      <family val="2"/>
    </font>
    <font>
      <b/>
      <u/>
      <sz val="10"/>
      <color rgb="FF000000"/>
      <name val="Times New Roman"/>
      <family val="1"/>
    </font>
    <font>
      <sz val="8"/>
      <color rgb="FF000000"/>
      <name val="Courier New"/>
      <family val="2"/>
    </font>
    <font>
      <sz val="8"/>
      <name val="Courier New"/>
      <family val="3"/>
    </font>
    <font>
      <sz val="11"/>
      <color rgb="FF000000"/>
      <name val="Times New Roman"/>
      <family val="1"/>
    </font>
    <font>
      <sz val="10"/>
      <color theme="4"/>
      <name val="Times New Roman"/>
      <family val="1"/>
    </font>
    <font>
      <sz val="10"/>
      <color rgb="FF000000"/>
      <name val="Times New Roman"/>
      <family val="1"/>
    </font>
    <font>
      <sz val="11"/>
      <color theme="0"/>
      <name val="Calibri"/>
      <family val="2"/>
      <scheme val="minor"/>
    </font>
    <font>
      <b/>
      <sz val="11"/>
      <color indexed="8"/>
      <name val="Arial"/>
      <family val="2"/>
    </font>
    <font>
      <sz val="11"/>
      <name val="Times"/>
    </font>
    <font>
      <b/>
      <sz val="14"/>
      <color theme="0"/>
      <name val="Calibri"/>
      <family val="2"/>
      <scheme val="minor"/>
    </font>
    <font>
      <u/>
      <sz val="12"/>
      <name val="Times"/>
    </font>
    <font>
      <u/>
      <sz val="11"/>
      <name val="Times"/>
    </font>
    <font>
      <b/>
      <u val="singleAccounting"/>
      <sz val="11"/>
      <color theme="0"/>
      <name val="Arial"/>
      <family val="2"/>
    </font>
    <font>
      <b/>
      <sz val="13"/>
      <color theme="3"/>
      <name val="Calibri"/>
      <family val="2"/>
      <scheme val="minor"/>
    </font>
    <font>
      <i/>
      <sz val="11"/>
      <color theme="1"/>
      <name val="Calibri"/>
      <family val="2"/>
      <scheme val="minor"/>
    </font>
    <font>
      <b/>
      <sz val="10"/>
      <color theme="0"/>
      <name val="Times New Roman"/>
      <family val="1"/>
    </font>
    <font>
      <sz val="14"/>
      <color theme="0"/>
      <name val="Calibri Light"/>
      <family val="1"/>
      <scheme val="major"/>
    </font>
    <font>
      <sz val="12"/>
      <color theme="1"/>
      <name val="Calibri"/>
      <family val="2"/>
      <scheme val="minor"/>
    </font>
    <font>
      <sz val="10"/>
      <color theme="1"/>
      <name val="Courier New"/>
      <family val="3"/>
    </font>
    <font>
      <sz val="10"/>
      <color rgb="FF000000"/>
      <name val="Courier New"/>
      <family val="2"/>
    </font>
    <font>
      <sz val="10"/>
      <name val="Courier New"/>
      <family val="3"/>
    </font>
    <font>
      <sz val="10"/>
      <color theme="1"/>
      <name val="Calibri"/>
      <family val="2"/>
      <scheme val="minor"/>
    </font>
    <font>
      <sz val="8"/>
      <name val="Calibri"/>
      <family val="2"/>
      <scheme val="minor"/>
    </font>
    <font>
      <sz val="10"/>
      <color theme="1"/>
      <name val="Arial"/>
      <family val="2"/>
    </font>
    <font>
      <b/>
      <i/>
      <sz val="11"/>
      <color theme="1"/>
      <name val="Arial"/>
      <family val="2"/>
    </font>
    <font>
      <b/>
      <sz val="10"/>
      <name val="Times New Roman"/>
      <family val="1"/>
    </font>
    <font>
      <b/>
      <sz val="18"/>
      <color theme="4" tint="-0.499984740745262"/>
      <name val="Arial"/>
      <family val="2"/>
    </font>
    <font>
      <b/>
      <sz val="12"/>
      <color rgb="FF00B0F0"/>
      <name val="Arial"/>
      <family val="2"/>
    </font>
    <font>
      <b/>
      <sz val="11"/>
      <color theme="0"/>
      <name val="Arial"/>
      <family val="2"/>
    </font>
    <font>
      <sz val="11"/>
      <color rgb="FF0070C0"/>
      <name val="Arial"/>
      <family val="2"/>
    </font>
    <font>
      <i/>
      <sz val="11"/>
      <color theme="1"/>
      <name val="Arial"/>
      <family val="2"/>
    </font>
    <font>
      <u/>
      <sz val="11"/>
      <color theme="1"/>
      <name val="Arial"/>
      <family val="2"/>
    </font>
    <font>
      <i/>
      <u/>
      <sz val="11"/>
      <name val="Arial"/>
      <family val="2"/>
    </font>
    <font>
      <sz val="9"/>
      <color indexed="81"/>
      <name val="Tahoma"/>
      <family val="2"/>
    </font>
    <font>
      <b/>
      <sz val="9"/>
      <color indexed="81"/>
      <name val="Tahoma"/>
      <family val="2"/>
    </font>
    <font>
      <sz val="11"/>
      <color theme="0" tint="-0.499984740745262"/>
      <name val="Calibri"/>
      <family val="2"/>
      <scheme val="minor"/>
    </font>
    <font>
      <u/>
      <sz val="11"/>
      <color theme="1"/>
      <name val="Calibri"/>
      <family val="2"/>
      <scheme val="minor"/>
    </font>
    <font>
      <sz val="11"/>
      <name val="Calibri"/>
      <family val="2"/>
      <scheme val="minor"/>
    </font>
    <font>
      <i/>
      <u/>
      <sz val="11"/>
      <color theme="1"/>
      <name val="Calibri"/>
      <family val="2"/>
      <scheme val="minor"/>
    </font>
    <font>
      <b/>
      <i/>
      <sz val="11"/>
      <name val="Arial"/>
      <family val="2"/>
    </font>
    <font>
      <b/>
      <sz val="20"/>
      <color theme="0"/>
      <name val="Calibri"/>
      <family val="2"/>
      <scheme val="minor"/>
    </font>
    <font>
      <b/>
      <u/>
      <sz val="11"/>
      <name val="Times"/>
    </font>
    <font>
      <b/>
      <sz val="11"/>
      <name val="Times"/>
    </font>
    <font>
      <b/>
      <u/>
      <sz val="11"/>
      <color theme="1"/>
      <name val="Calibri"/>
      <family val="2"/>
      <scheme val="minor"/>
    </font>
    <font>
      <sz val="11"/>
      <color rgb="FF9C0006"/>
      <name val="Calibri"/>
      <family val="2"/>
      <scheme val="minor"/>
    </font>
    <font>
      <b/>
      <sz val="11"/>
      <color theme="0"/>
      <name val="Calibri"/>
      <family val="2"/>
      <scheme val="minor"/>
    </font>
    <font>
      <b/>
      <i/>
      <sz val="11"/>
      <color rgb="FF9C0006"/>
      <name val="Arial"/>
      <family val="2"/>
    </font>
    <font>
      <sz val="11"/>
      <color theme="1"/>
      <name val="Calibri"/>
      <family val="2"/>
    </font>
    <font>
      <b/>
      <sz val="11"/>
      <color rgb="FFFF0000"/>
      <name val="Calibri"/>
      <family val="2"/>
      <scheme val="minor"/>
    </font>
    <font>
      <b/>
      <sz val="11"/>
      <color rgb="FF002060"/>
      <name val="Calibri"/>
      <family val="2"/>
      <scheme val="minor"/>
    </font>
    <font>
      <b/>
      <sz val="11"/>
      <color theme="4"/>
      <name val="Calibri"/>
      <family val="2"/>
      <scheme val="minor"/>
    </font>
    <font>
      <b/>
      <sz val="11"/>
      <name val="Calibri"/>
      <family val="2"/>
      <scheme val="minor"/>
    </font>
    <font>
      <b/>
      <sz val="11"/>
      <color indexed="18"/>
      <name val="Arial"/>
      <family val="2"/>
    </font>
    <font>
      <sz val="8"/>
      <color indexed="63"/>
      <name val="Trebuchet MS"/>
      <family val="2"/>
    </font>
    <font>
      <u/>
      <sz val="8"/>
      <color indexed="63"/>
      <name val="Trebuchet MS"/>
      <family val="1"/>
      <charset val="204"/>
    </font>
    <font>
      <sz val="10"/>
      <name val="Times New Roman"/>
      <family val="1"/>
      <charset val="204"/>
    </font>
    <font>
      <sz val="8"/>
      <color indexed="63"/>
      <name val="Arial"/>
      <family val="2"/>
    </font>
    <font>
      <sz val="8"/>
      <color indexed="63"/>
      <name val="Trebuchet MS"/>
      <family val="1"/>
      <charset val="204"/>
    </font>
    <font>
      <sz val="11"/>
      <color theme="4"/>
      <name val="Times"/>
    </font>
    <font>
      <sz val="9"/>
      <name val="Calibri"/>
      <family val="2"/>
    </font>
    <font>
      <i/>
      <sz val="14"/>
      <name val="Geneva"/>
    </font>
    <font>
      <i/>
      <sz val="12"/>
      <name val="Geneva"/>
    </font>
    <font>
      <sz val="11"/>
      <name val="Geneva"/>
    </font>
    <font>
      <b/>
      <sz val="12"/>
      <name val="Geneva"/>
    </font>
    <font>
      <sz val="12"/>
      <name val="Times New Roman"/>
      <family val="1"/>
    </font>
    <font>
      <u/>
      <sz val="14"/>
      <name val="Geneva"/>
    </font>
    <font>
      <sz val="12"/>
      <name val="Geneva"/>
    </font>
    <font>
      <sz val="11"/>
      <color theme="4"/>
      <name val="Calibri"/>
      <family val="2"/>
    </font>
    <font>
      <i/>
      <sz val="11"/>
      <name val="Geneva"/>
    </font>
    <font>
      <sz val="12"/>
      <name val="Arial"/>
      <family val="2"/>
    </font>
    <font>
      <sz val="11"/>
      <color theme="4"/>
      <name val="Arial"/>
      <family val="2"/>
    </font>
    <font>
      <sz val="11"/>
      <color rgb="FF000000"/>
      <name val="Calibri"/>
      <family val="2"/>
    </font>
  </fonts>
  <fills count="25">
    <fill>
      <patternFill patternType="none"/>
    </fill>
    <fill>
      <patternFill patternType="gray125"/>
    </fill>
    <fill>
      <patternFill patternType="solid">
        <fgColor rgb="FF00B0F0"/>
        <bgColor indexed="64"/>
      </patternFill>
    </fill>
    <fill>
      <patternFill patternType="solid">
        <fgColor theme="0" tint="-0.499984740745262"/>
        <bgColor indexed="64"/>
      </patternFill>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FF0000"/>
        <bgColor indexed="64"/>
      </patternFill>
    </fill>
    <fill>
      <patternFill patternType="solid">
        <fgColor theme="9" tint="-0.499984740745262"/>
        <bgColor indexed="64"/>
      </patternFill>
    </fill>
    <fill>
      <patternFill patternType="solid">
        <fgColor rgb="FF7030A0"/>
        <bgColor indexed="64"/>
      </patternFill>
    </fill>
    <fill>
      <patternFill patternType="solid">
        <fgColor rgb="FFFFC7CE"/>
      </patternFill>
    </fill>
    <fill>
      <patternFill patternType="solid">
        <fgColor rgb="FFFFC7CE"/>
        <bgColor indexed="64"/>
      </patternFill>
    </fill>
    <fill>
      <patternFill patternType="solid">
        <fgColor theme="9" tint="0.79998168889431442"/>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64"/>
      </top>
      <bottom style="medium">
        <color indexed="64"/>
      </bottom>
      <diagonal/>
    </border>
    <border>
      <left/>
      <right/>
      <top/>
      <bottom style="thick">
        <color theme="4"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s>
  <cellStyleXfs count="16">
    <xf numFmtId="0" fontId="0" fillId="0" borderId="0"/>
    <xf numFmtId="43" fontId="1" fillId="0" borderId="0" applyFont="0" applyFill="0" applyBorder="0" applyAlignment="0" applyProtection="0"/>
    <xf numFmtId="44" fontId="1" fillId="0" borderId="0" applyFont="0" applyFill="0" applyBorder="0" applyAlignment="0" applyProtection="0"/>
    <xf numFmtId="0" fontId="3" fillId="0" borderId="0" applyNumberFormat="0" applyFill="0" applyBorder="0" applyAlignment="0" applyProtection="0"/>
    <xf numFmtId="0" fontId="11" fillId="0" borderId="0"/>
    <xf numFmtId="44" fontId="11" fillId="0" borderId="0" applyFont="0" applyFill="0" applyBorder="0" applyAlignment="0" applyProtection="0"/>
    <xf numFmtId="9" fontId="11" fillId="0" borderId="0" applyFont="0" applyFill="0" applyBorder="0" applyAlignment="0" applyProtection="0"/>
    <xf numFmtId="43" fontId="11" fillId="0" borderId="0" applyFont="0" applyFill="0" applyBorder="0" applyAlignment="0" applyProtection="0"/>
    <xf numFmtId="0" fontId="4" fillId="0" borderId="0"/>
    <xf numFmtId="43" fontId="25" fillId="0" borderId="0" applyFont="0" applyFill="0" applyBorder="0" applyAlignment="0" applyProtection="0"/>
    <xf numFmtId="9" fontId="1" fillId="0" borderId="0" applyFont="0" applyFill="0" applyBorder="0" applyAlignment="0" applyProtection="0"/>
    <xf numFmtId="0" fontId="45" fillId="0" borderId="4" applyNumberFormat="0" applyFill="0" applyAlignment="0" applyProtection="0"/>
    <xf numFmtId="0" fontId="76" fillId="22" borderId="0" applyNumberFormat="0" applyBorder="0" applyAlignment="0" applyProtection="0"/>
    <xf numFmtId="177" fontId="27" fillId="3" borderId="0" applyFont="0" applyFill="0" applyBorder="0" applyAlignment="0" applyProtection="0">
      <alignment vertical="center"/>
      <protection locked="0"/>
    </xf>
    <xf numFmtId="178" fontId="27" fillId="3" borderId="0" applyFont="0" applyFill="0" applyBorder="0" applyAlignment="0" applyProtection="0">
      <alignment vertical="center"/>
      <protection locked="0"/>
    </xf>
    <xf numFmtId="0" fontId="101" fillId="0" borderId="0"/>
  </cellStyleXfs>
  <cellXfs count="629">
    <xf numFmtId="0" fontId="0" fillId="0" borderId="0" xfId="0"/>
    <xf numFmtId="0" fontId="5" fillId="2" borderId="0" xfId="0" applyFont="1" applyFill="1"/>
    <xf numFmtId="0" fontId="0" fillId="2" borderId="0" xfId="0" applyFill="1"/>
    <xf numFmtId="0" fontId="0" fillId="3" borderId="0" xfId="0" applyFill="1"/>
    <xf numFmtId="0" fontId="6" fillId="2" borderId="0" xfId="0" applyFont="1" applyFill="1"/>
    <xf numFmtId="0" fontId="7" fillId="2" borderId="0" xfId="0" applyFont="1" applyFill="1"/>
    <xf numFmtId="0" fontId="8" fillId="2" borderId="0" xfId="0" applyFont="1" applyFill="1"/>
    <xf numFmtId="0" fontId="9" fillId="2" borderId="0" xfId="3" applyFont="1" applyFill="1" applyAlignment="1" applyProtection="1"/>
    <xf numFmtId="0" fontId="10" fillId="2" borderId="0" xfId="3" applyFont="1" applyFill="1" applyAlignment="1" applyProtection="1"/>
    <xf numFmtId="0" fontId="2" fillId="0" borderId="0" xfId="0" applyFont="1"/>
    <xf numFmtId="0" fontId="3" fillId="0" borderId="0" xfId="3" applyFill="1" applyAlignment="1" applyProtection="1"/>
    <xf numFmtId="0" fontId="11" fillId="0" borderId="0" xfId="4"/>
    <xf numFmtId="0" fontId="11" fillId="3" borderId="0" xfId="4" applyFill="1"/>
    <xf numFmtId="0" fontId="12" fillId="0" borderId="0" xfId="4" applyFont="1"/>
    <xf numFmtId="0" fontId="13" fillId="0" borderId="0" xfId="4" applyFont="1"/>
    <xf numFmtId="0" fontId="12" fillId="3" borderId="0" xfId="4" applyFont="1" applyFill="1"/>
    <xf numFmtId="0" fontId="15" fillId="2" borderId="0" xfId="4" applyFont="1" applyFill="1"/>
    <xf numFmtId="0" fontId="16" fillId="2" borderId="0" xfId="4" applyFont="1" applyFill="1"/>
    <xf numFmtId="0" fontId="16" fillId="3" borderId="0" xfId="4" applyFont="1" applyFill="1"/>
    <xf numFmtId="0" fontId="17" fillId="0" borderId="0" xfId="4" applyFont="1"/>
    <xf numFmtId="0" fontId="20" fillId="3" borderId="0" xfId="0" applyFont="1" applyFill="1"/>
    <xf numFmtId="0" fontId="21" fillId="2" borderId="0" xfId="4" applyFont="1" applyFill="1"/>
    <xf numFmtId="0" fontId="21" fillId="3" borderId="0" xfId="4" applyFont="1" applyFill="1"/>
    <xf numFmtId="10" fontId="14" fillId="3" borderId="0" xfId="4" applyNumberFormat="1" applyFont="1" applyFill="1"/>
    <xf numFmtId="0" fontId="17" fillId="3" borderId="0" xfId="4" applyFont="1" applyFill="1"/>
    <xf numFmtId="0" fontId="21" fillId="0" borderId="0" xfId="4" applyFont="1"/>
    <xf numFmtId="10" fontId="19" fillId="3" borderId="0" xfId="4" applyNumberFormat="1" applyFont="1" applyFill="1"/>
    <xf numFmtId="0" fontId="6" fillId="2" borderId="0" xfId="0" quotePrefix="1" applyFont="1" applyFill="1"/>
    <xf numFmtId="0" fontId="22" fillId="0" borderId="0" xfId="0" quotePrefix="1" applyFont="1" applyAlignment="1">
      <alignment horizontal="left"/>
    </xf>
    <xf numFmtId="0" fontId="23" fillId="0" borderId="0" xfId="0" applyFont="1"/>
    <xf numFmtId="0" fontId="23" fillId="3" borderId="0" xfId="0" applyFont="1" applyFill="1"/>
    <xf numFmtId="0" fontId="4" fillId="0" borderId="0" xfId="8"/>
    <xf numFmtId="0" fontId="24" fillId="0" borderId="2" xfId="0" applyFont="1" applyBorder="1"/>
    <xf numFmtId="165" fontId="24" fillId="0" borderId="2" xfId="0" applyNumberFormat="1" applyFont="1" applyBorder="1"/>
    <xf numFmtId="0" fontId="4" fillId="3" borderId="0" xfId="8" applyFill="1"/>
    <xf numFmtId="166" fontId="26" fillId="4" borderId="0" xfId="9" applyNumberFormat="1" applyFont="1" applyFill="1" applyBorder="1" applyAlignment="1" applyProtection="1">
      <alignment vertical="center"/>
      <protection locked="0"/>
    </xf>
    <xf numFmtId="166" fontId="27" fillId="5" borderId="0" xfId="9" applyNumberFormat="1" applyFont="1" applyFill="1" applyBorder="1" applyAlignment="1" applyProtection="1">
      <alignment vertical="center"/>
      <protection locked="0"/>
    </xf>
    <xf numFmtId="166" fontId="29" fillId="4" borderId="0" xfId="9" applyNumberFormat="1" applyFont="1" applyFill="1"/>
    <xf numFmtId="166" fontId="28" fillId="5" borderId="0" xfId="9" applyNumberFormat="1" applyFont="1" applyFill="1"/>
    <xf numFmtId="166" fontId="30" fillId="0" borderId="0" xfId="9" applyNumberFormat="1" applyFont="1"/>
    <xf numFmtId="166" fontId="27" fillId="0" borderId="0" xfId="9" applyNumberFormat="1" applyFont="1"/>
    <xf numFmtId="0" fontId="29" fillId="0" borderId="0" xfId="0" applyFont="1"/>
    <xf numFmtId="166" fontId="27" fillId="3" borderId="0" xfId="9" applyNumberFormat="1" applyFont="1" applyFill="1" applyBorder="1" applyAlignment="1" applyProtection="1">
      <alignment vertical="center"/>
      <protection locked="0"/>
    </xf>
    <xf numFmtId="166" fontId="28" fillId="3" borderId="0" xfId="9" applyNumberFormat="1" applyFont="1" applyFill="1" applyBorder="1" applyAlignment="1" applyProtection="1">
      <alignment vertical="center"/>
      <protection locked="0"/>
    </xf>
    <xf numFmtId="166" fontId="27" fillId="3" borderId="0" xfId="9" applyNumberFormat="1" applyFont="1" applyFill="1"/>
    <xf numFmtId="0" fontId="31" fillId="0" borderId="3" xfId="0" applyFont="1" applyBorder="1"/>
    <xf numFmtId="0" fontId="24" fillId="0" borderId="0" xfId="0" applyFont="1" applyBorder="1"/>
    <xf numFmtId="166" fontId="30" fillId="4" borderId="0" xfId="9" applyNumberFormat="1" applyFont="1" applyFill="1" applyBorder="1" applyAlignment="1" applyProtection="1">
      <alignment vertical="center"/>
      <protection locked="0"/>
    </xf>
    <xf numFmtId="44" fontId="30" fillId="4" borderId="0" xfId="2" applyFont="1" applyFill="1" applyBorder="1" applyAlignment="1" applyProtection="1">
      <alignment vertical="center"/>
      <protection locked="0"/>
    </xf>
    <xf numFmtId="44" fontId="26" fillId="4" borderId="0" xfId="2" applyFont="1" applyFill="1" applyBorder="1" applyAlignment="1" applyProtection="1">
      <alignment vertical="center"/>
      <protection locked="0"/>
    </xf>
    <xf numFmtId="166" fontId="27" fillId="5" borderId="0" xfId="9" applyNumberFormat="1" applyFont="1" applyFill="1"/>
    <xf numFmtId="0" fontId="24" fillId="0" borderId="3" xfId="0" applyFont="1" applyBorder="1"/>
    <xf numFmtId="44" fontId="27" fillId="5" borderId="0" xfId="2" applyFont="1" applyFill="1" applyBorder="1" applyAlignment="1" applyProtection="1">
      <alignment vertical="center"/>
      <protection locked="0"/>
    </xf>
    <xf numFmtId="44" fontId="27" fillId="5" borderId="0" xfId="2" applyFont="1" applyFill="1"/>
    <xf numFmtId="44" fontId="29" fillId="4" borderId="0" xfId="2" applyFont="1" applyFill="1"/>
    <xf numFmtId="44" fontId="24" fillId="4" borderId="3" xfId="2" applyFont="1" applyFill="1" applyBorder="1" applyAlignment="1" applyProtection="1">
      <alignment vertical="center"/>
      <protection locked="0"/>
    </xf>
    <xf numFmtId="0" fontId="0" fillId="0" borderId="0" xfId="0" applyAlignment="1">
      <alignment horizontal="left" vertical="top" wrapText="1" indent="1"/>
    </xf>
    <xf numFmtId="0" fontId="0" fillId="0" borderId="0" xfId="0" applyAlignment="1">
      <alignment horizontal="left" vertical="top"/>
    </xf>
    <xf numFmtId="0" fontId="35" fillId="0" borderId="0" xfId="0" applyFont="1" applyAlignment="1">
      <alignment horizontal="left" vertical="top"/>
    </xf>
    <xf numFmtId="0" fontId="36" fillId="0" borderId="0" xfId="0" applyFont="1" applyAlignment="1">
      <alignment horizontal="left" vertical="top"/>
    </xf>
    <xf numFmtId="44" fontId="35" fillId="0" borderId="0" xfId="2" applyFont="1" applyFill="1" applyBorder="1" applyAlignment="1">
      <alignment horizontal="left" vertical="top"/>
    </xf>
    <xf numFmtId="2" fontId="33" fillId="0" borderId="0" xfId="0" applyNumberFormat="1" applyFont="1" applyAlignment="1">
      <alignment vertical="top" shrinkToFit="1"/>
    </xf>
    <xf numFmtId="0" fontId="34" fillId="0" borderId="0" xfId="0" applyFont="1" applyAlignment="1">
      <alignment horizontal="center" vertical="top" wrapText="1"/>
    </xf>
    <xf numFmtId="0" fontId="37" fillId="0" borderId="0" xfId="0" applyFont="1" applyAlignment="1">
      <alignment horizontal="left" vertical="top"/>
    </xf>
    <xf numFmtId="164" fontId="26" fillId="4" borderId="0" xfId="9" applyNumberFormat="1" applyFont="1" applyFill="1" applyBorder="1" applyAlignment="1" applyProtection="1">
      <alignment vertical="center"/>
      <protection locked="0"/>
    </xf>
    <xf numFmtId="44" fontId="39" fillId="0" borderId="3" xfId="2" applyFont="1" applyBorder="1"/>
    <xf numFmtId="44" fontId="0" fillId="0" borderId="0" xfId="2" applyFont="1"/>
    <xf numFmtId="0" fontId="18" fillId="0" borderId="0" xfId="4" applyFont="1" applyBorder="1"/>
    <xf numFmtId="0" fontId="40" fillId="0" borderId="0" xfId="4" applyFont="1"/>
    <xf numFmtId="44" fontId="40" fillId="0" borderId="0" xfId="2" applyFont="1" applyFill="1" applyBorder="1"/>
    <xf numFmtId="0" fontId="41" fillId="2" borderId="0" xfId="4" applyFont="1" applyFill="1"/>
    <xf numFmtId="44" fontId="40" fillId="6" borderId="1" xfId="5" applyNumberFormat="1" applyFont="1" applyFill="1" applyBorder="1"/>
    <xf numFmtId="0" fontId="42" fillId="0" borderId="0" xfId="4" applyFont="1"/>
    <xf numFmtId="0" fontId="43" fillId="0" borderId="0" xfId="4" applyFont="1"/>
    <xf numFmtId="41" fontId="40" fillId="6" borderId="1" xfId="5" applyNumberFormat="1" applyFont="1" applyFill="1" applyBorder="1"/>
    <xf numFmtId="44" fontId="23" fillId="0" borderId="0" xfId="0" applyNumberFormat="1" applyFont="1"/>
    <xf numFmtId="0" fontId="25" fillId="0" borderId="0" xfId="0" applyFont="1"/>
    <xf numFmtId="0" fontId="38" fillId="2" borderId="0" xfId="0" quotePrefix="1" applyFont="1" applyFill="1"/>
    <xf numFmtId="14" fontId="24" fillId="0" borderId="2" xfId="0" applyNumberFormat="1" applyFont="1" applyBorder="1"/>
    <xf numFmtId="0" fontId="44" fillId="2" borderId="0" xfId="0" applyFont="1" applyFill="1" applyAlignment="1"/>
    <xf numFmtId="1" fontId="30" fillId="0" borderId="0" xfId="0" quotePrefix="1" applyNumberFormat="1" applyFont="1" applyAlignment="1">
      <alignment horizontal="center"/>
    </xf>
    <xf numFmtId="0" fontId="45" fillId="0" borderId="4" xfId="11"/>
    <xf numFmtId="0" fontId="0" fillId="0" borderId="5" xfId="0" applyBorder="1"/>
    <xf numFmtId="44" fontId="0" fillId="0" borderId="6" xfId="2" applyFont="1" applyBorder="1"/>
    <xf numFmtId="0" fontId="0" fillId="0" borderId="8" xfId="0" applyBorder="1"/>
    <xf numFmtId="44" fontId="0" fillId="0" borderId="9" xfId="2" applyFont="1" applyBorder="1"/>
    <xf numFmtId="0" fontId="0" fillId="0" borderId="7" xfId="0" applyBorder="1"/>
    <xf numFmtId="0" fontId="0" fillId="0" borderId="10" xfId="0" applyBorder="1"/>
    <xf numFmtId="0" fontId="0" fillId="0" borderId="11" xfId="0" applyBorder="1"/>
    <xf numFmtId="44" fontId="0" fillId="0" borderId="12" xfId="2" applyFont="1" applyBorder="1"/>
    <xf numFmtId="0" fontId="46" fillId="0" borderId="0" xfId="0" applyFont="1"/>
    <xf numFmtId="44" fontId="0" fillId="7" borderId="0" xfId="2" applyFont="1" applyFill="1"/>
    <xf numFmtId="44" fontId="0" fillId="0" borderId="0" xfId="2" applyFont="1" applyFill="1"/>
    <xf numFmtId="0" fontId="0" fillId="0" borderId="9" xfId="0" applyBorder="1"/>
    <xf numFmtId="0" fontId="0" fillId="0" borderId="12" xfId="0" applyBorder="1"/>
    <xf numFmtId="44" fontId="45" fillId="0" borderId="4" xfId="11" applyNumberFormat="1"/>
    <xf numFmtId="44" fontId="0" fillId="0" borderId="0" xfId="0" applyNumberFormat="1"/>
    <xf numFmtId="0" fontId="3" fillId="0" borderId="0" xfId="3"/>
    <xf numFmtId="164" fontId="0" fillId="0" borderId="0" xfId="1" applyNumberFormat="1" applyFont="1"/>
    <xf numFmtId="164" fontId="0" fillId="0" borderId="13" xfId="1" applyNumberFormat="1" applyFont="1" applyBorder="1"/>
    <xf numFmtId="164" fontId="0" fillId="0" borderId="6" xfId="1" applyNumberFormat="1" applyFont="1" applyBorder="1"/>
    <xf numFmtId="164" fontId="0" fillId="0" borderId="0" xfId="1" applyNumberFormat="1" applyFont="1" applyBorder="1"/>
    <xf numFmtId="164" fontId="0" fillId="0" borderId="9" xfId="1" applyNumberFormat="1" applyFont="1" applyBorder="1"/>
    <xf numFmtId="164" fontId="0" fillId="0" borderId="7" xfId="1" applyNumberFormat="1" applyFont="1" applyBorder="1"/>
    <xf numFmtId="164" fontId="0" fillId="0" borderId="12" xfId="1" applyNumberFormat="1" applyFont="1" applyBorder="1"/>
    <xf numFmtId="164" fontId="0" fillId="9" borderId="0" xfId="1" applyNumberFormat="1" applyFont="1" applyFill="1" applyBorder="1"/>
    <xf numFmtId="0" fontId="47" fillId="8" borderId="17" xfId="0" applyFont="1" applyFill="1" applyBorder="1"/>
    <xf numFmtId="0" fontId="47" fillId="8" borderId="18" xfId="0" applyFont="1" applyFill="1" applyBorder="1"/>
    <xf numFmtId="44" fontId="0" fillId="9" borderId="0" xfId="2" applyFont="1" applyFill="1" applyBorder="1"/>
    <xf numFmtId="164" fontId="0" fillId="9" borderId="9" xfId="1" applyNumberFormat="1" applyFont="1" applyFill="1" applyBorder="1"/>
    <xf numFmtId="164" fontId="0" fillId="9" borderId="12" xfId="1" applyNumberFormat="1" applyFont="1" applyFill="1" applyBorder="1"/>
    <xf numFmtId="0" fontId="0" fillId="0" borderId="14" xfId="0" applyBorder="1"/>
    <xf numFmtId="0" fontId="23" fillId="0" borderId="13" xfId="0" applyFont="1" applyBorder="1"/>
    <xf numFmtId="166" fontId="26" fillId="4" borderId="0" xfId="9" applyNumberFormat="1" applyFont="1" applyFill="1" applyBorder="1" applyAlignment="1" applyProtection="1">
      <alignment horizontal="right" vertical="center"/>
      <protection locked="0"/>
    </xf>
    <xf numFmtId="0" fontId="48" fillId="2" borderId="0" xfId="3" applyFont="1" applyFill="1" applyAlignment="1" applyProtection="1"/>
    <xf numFmtId="0" fontId="2" fillId="0" borderId="0" xfId="0" applyFont="1" applyAlignment="1">
      <alignment wrapText="1"/>
    </xf>
    <xf numFmtId="0" fontId="0" fillId="0" borderId="0" xfId="0" applyFont="1" applyAlignment="1">
      <alignment horizontal="center" vertical="center"/>
    </xf>
    <xf numFmtId="164" fontId="26" fillId="4" borderId="0" xfId="9" applyNumberFormat="1" applyFont="1" applyFill="1" applyBorder="1" applyAlignment="1" applyProtection="1">
      <alignment horizontal="right" vertical="center"/>
      <protection locked="0"/>
    </xf>
    <xf numFmtId="9" fontId="26" fillId="4" borderId="0" xfId="10" applyFont="1" applyFill="1" applyBorder="1" applyAlignment="1" applyProtection="1">
      <alignment horizontal="right" vertical="center"/>
      <protection locked="0"/>
    </xf>
    <xf numFmtId="44" fontId="0" fillId="0" borderId="0" xfId="0" applyNumberFormat="1" applyAlignment="1">
      <alignment horizontal="left" vertical="top"/>
    </xf>
    <xf numFmtId="0" fontId="35" fillId="0" borderId="19" xfId="0" applyFont="1" applyBorder="1" applyAlignment="1">
      <alignment horizontal="left" vertical="top"/>
    </xf>
    <xf numFmtId="44" fontId="35" fillId="0" borderId="20" xfId="2" applyFont="1" applyFill="1" applyBorder="1" applyAlignment="1">
      <alignment horizontal="left" vertical="top"/>
    </xf>
    <xf numFmtId="44" fontId="35" fillId="0" borderId="21" xfId="2" applyFont="1" applyFill="1" applyBorder="1" applyAlignment="1">
      <alignment horizontal="left" vertical="top"/>
    </xf>
    <xf numFmtId="0" fontId="35" fillId="0" borderId="22" xfId="0" applyFont="1" applyBorder="1" applyAlignment="1">
      <alignment horizontal="left" vertical="top"/>
    </xf>
    <xf numFmtId="44" fontId="35" fillId="0" borderId="23" xfId="2" applyFont="1" applyFill="1" applyBorder="1" applyAlignment="1">
      <alignment horizontal="left" vertical="top"/>
    </xf>
    <xf numFmtId="0" fontId="35" fillId="0" borderId="24" xfId="0" applyFont="1" applyBorder="1" applyAlignment="1">
      <alignment horizontal="left" vertical="top"/>
    </xf>
    <xf numFmtId="44" fontId="35" fillId="0" borderId="2" xfId="2" applyFont="1" applyFill="1" applyBorder="1" applyAlignment="1">
      <alignment horizontal="left" vertical="top"/>
    </xf>
    <xf numFmtId="44" fontId="35" fillId="0" borderId="25" xfId="2" applyFont="1" applyFill="1" applyBorder="1" applyAlignment="1">
      <alignment horizontal="left" vertical="top"/>
    </xf>
    <xf numFmtId="166" fontId="0" fillId="0" borderId="9" xfId="1" applyNumberFormat="1" applyFont="1" applyBorder="1"/>
    <xf numFmtId="166" fontId="0" fillId="0" borderId="0" xfId="1" applyNumberFormat="1" applyFont="1" applyBorder="1"/>
    <xf numFmtId="0" fontId="50" fillId="0" borderId="0" xfId="0" applyFont="1"/>
    <xf numFmtId="44" fontId="50" fillId="0" borderId="0" xfId="2" applyFont="1"/>
    <xf numFmtId="0" fontId="50" fillId="0" borderId="0" xfId="0" applyFont="1" applyAlignment="1">
      <alignment wrapText="1"/>
    </xf>
    <xf numFmtId="0" fontId="34" fillId="0" borderId="0" xfId="0" applyFont="1" applyAlignment="1">
      <alignment horizontal="center" vertical="top" wrapText="1"/>
    </xf>
    <xf numFmtId="0" fontId="34" fillId="0" borderId="0" xfId="0" applyFont="1" applyAlignment="1">
      <alignment horizontal="left" vertical="top" wrapText="1" indent="1"/>
    </xf>
    <xf numFmtId="0" fontId="0" fillId="0" borderId="0" xfId="0" quotePrefix="1" applyAlignment="1">
      <alignment horizontal="center" vertical="top" wrapText="1"/>
    </xf>
    <xf numFmtId="0" fontId="0" fillId="0" borderId="0" xfId="0" applyAlignment="1">
      <alignment horizontal="center" vertical="top" wrapText="1"/>
    </xf>
    <xf numFmtId="0" fontId="34" fillId="0" borderId="0" xfId="0" applyFont="1" applyAlignment="1">
      <alignment horizontal="center" vertical="top"/>
    </xf>
    <xf numFmtId="0" fontId="50" fillId="0" borderId="19" xfId="0" applyFont="1" applyBorder="1"/>
    <xf numFmtId="0" fontId="50" fillId="0" borderId="20" xfId="0" applyFont="1" applyBorder="1"/>
    <xf numFmtId="44" fontId="50" fillId="0" borderId="20" xfId="2" applyFont="1" applyBorder="1"/>
    <xf numFmtId="0" fontId="50" fillId="0" borderId="21" xfId="0" applyFont="1" applyBorder="1"/>
    <xf numFmtId="0" fontId="50" fillId="0" borderId="22" xfId="0" applyFont="1" applyBorder="1"/>
    <xf numFmtId="0" fontId="50" fillId="0" borderId="0" xfId="0" applyFont="1" applyBorder="1"/>
    <xf numFmtId="44" fontId="50" fillId="0" borderId="0" xfId="2" applyFont="1" applyBorder="1"/>
    <xf numFmtId="0" fontId="50" fillId="0" borderId="23" xfId="0" applyFont="1" applyBorder="1"/>
    <xf numFmtId="0" fontId="50" fillId="0" borderId="0" xfId="0" quotePrefix="1" applyFont="1" applyBorder="1" applyAlignment="1">
      <alignment wrapText="1"/>
    </xf>
    <xf numFmtId="0" fontId="50" fillId="0" borderId="24" xfId="0" applyFont="1" applyBorder="1"/>
    <xf numFmtId="0" fontId="50" fillId="0" borderId="2" xfId="0" applyFont="1" applyBorder="1" applyAlignment="1">
      <alignment wrapText="1"/>
    </xf>
    <xf numFmtId="44" fontId="50" fillId="0" borderId="2" xfId="2" applyFont="1" applyBorder="1"/>
    <xf numFmtId="0" fontId="50" fillId="0" borderId="25" xfId="0" applyFont="1" applyBorder="1"/>
    <xf numFmtId="0" fontId="50" fillId="0" borderId="20" xfId="0" applyFont="1" applyBorder="1" applyAlignment="1">
      <alignment wrapText="1"/>
    </xf>
    <xf numFmtId="0" fontId="0" fillId="0" borderId="22" xfId="0" applyBorder="1"/>
    <xf numFmtId="44" fontId="0" fillId="0" borderId="0" xfId="2" applyFont="1" applyBorder="1"/>
    <xf numFmtId="0" fontId="0" fillId="0" borderId="23" xfId="0" applyBorder="1"/>
    <xf numFmtId="0" fontId="0" fillId="0" borderId="24" xfId="0" applyBorder="1"/>
    <xf numFmtId="0" fontId="50" fillId="0" borderId="2" xfId="0" applyFont="1" applyBorder="1"/>
    <xf numFmtId="44" fontId="0" fillId="0" borderId="2" xfId="2" applyFont="1" applyBorder="1"/>
    <xf numFmtId="0" fontId="0" fillId="0" borderId="25" xfId="0" applyBorder="1"/>
    <xf numFmtId="0" fontId="50" fillId="0" borderId="0" xfId="0" applyFont="1" applyBorder="1" applyAlignment="1">
      <alignment wrapText="1"/>
    </xf>
    <xf numFmtId="0" fontId="0" fillId="0" borderId="19" xfId="0" applyBorder="1"/>
    <xf numFmtId="0" fontId="0" fillId="0" borderId="20" xfId="0" applyBorder="1"/>
    <xf numFmtId="44" fontId="0" fillId="0" borderId="20" xfId="2" applyFont="1" applyBorder="1"/>
    <xf numFmtId="0" fontId="0" fillId="0" borderId="21" xfId="0" applyBorder="1"/>
    <xf numFmtId="0" fontId="0" fillId="0" borderId="0" xfId="0" applyNumberFormat="1" applyBorder="1"/>
    <xf numFmtId="44" fontId="0" fillId="0" borderId="0" xfId="0" applyNumberFormat="1" applyBorder="1"/>
    <xf numFmtId="44" fontId="0" fillId="0" borderId="23" xfId="0" applyNumberFormat="1" applyBorder="1"/>
    <xf numFmtId="0" fontId="0" fillId="0" borderId="2" xfId="0" applyBorder="1"/>
    <xf numFmtId="44" fontId="0" fillId="0" borderId="2" xfId="0" applyNumberFormat="1" applyBorder="1"/>
    <xf numFmtId="44" fontId="0" fillId="0" borderId="25" xfId="0" applyNumberFormat="1" applyBorder="1"/>
    <xf numFmtId="0" fontId="0" fillId="0" borderId="22" xfId="0" applyBorder="1" applyAlignment="1">
      <alignment wrapText="1"/>
    </xf>
    <xf numFmtId="0" fontId="0" fillId="0" borderId="0" xfId="0" applyNumberFormat="1" applyBorder="1" applyAlignment="1">
      <alignment wrapText="1"/>
    </xf>
    <xf numFmtId="44" fontId="0" fillId="0" borderId="0" xfId="2" applyFont="1" applyBorder="1" applyAlignment="1">
      <alignment wrapText="1"/>
    </xf>
    <xf numFmtId="44" fontId="0" fillId="0" borderId="0" xfId="0" applyNumberFormat="1" applyBorder="1" applyAlignment="1">
      <alignment wrapText="1"/>
    </xf>
    <xf numFmtId="44" fontId="0" fillId="0" borderId="23" xfId="0" applyNumberFormat="1" applyBorder="1" applyAlignment="1">
      <alignment wrapText="1"/>
    </xf>
    <xf numFmtId="0" fontId="0" fillId="0" borderId="0" xfId="0" applyAlignment="1">
      <alignment wrapText="1"/>
    </xf>
    <xf numFmtId="1" fontId="0" fillId="0" borderId="0" xfId="2" applyNumberFormat="1" applyFont="1" applyBorder="1"/>
    <xf numFmtId="0" fontId="0" fillId="0" borderId="0" xfId="0" applyBorder="1"/>
    <xf numFmtId="0" fontId="35" fillId="0" borderId="22" xfId="0" applyFont="1" applyBorder="1" applyAlignment="1">
      <alignment horizontal="left" vertical="top" wrapText="1"/>
    </xf>
    <xf numFmtId="167" fontId="40" fillId="6" borderId="1" xfId="5" applyNumberFormat="1" applyFont="1" applyFill="1" applyBorder="1"/>
    <xf numFmtId="44" fontId="0" fillId="0" borderId="0" xfId="2" applyFont="1" applyAlignment="1">
      <alignment horizontal="left" vertical="top"/>
    </xf>
    <xf numFmtId="0" fontId="55" fillId="0" borderId="0" xfId="0" applyFont="1"/>
    <xf numFmtId="0" fontId="30" fillId="4" borderId="0" xfId="2" applyNumberFormat="1" applyFont="1" applyFill="1" applyBorder="1" applyAlignment="1" applyProtection="1">
      <alignment horizontal="center" vertical="center"/>
      <protection locked="0"/>
    </xf>
    <xf numFmtId="0" fontId="56" fillId="10" borderId="0" xfId="0" applyFont="1" applyFill="1"/>
    <xf numFmtId="0" fontId="56" fillId="11" borderId="0" xfId="0" applyFont="1" applyFill="1"/>
    <xf numFmtId="0" fontId="56" fillId="12" borderId="0" xfId="0" applyFont="1" applyFill="1"/>
    <xf numFmtId="0" fontId="56" fillId="13" borderId="0" xfId="0" applyFont="1" applyFill="1"/>
    <xf numFmtId="0" fontId="56" fillId="11" borderId="0" xfId="0" applyFont="1" applyFill="1" applyAlignment="1">
      <alignment horizontal="center"/>
    </xf>
    <xf numFmtId="0" fontId="56" fillId="13" borderId="0" xfId="0" applyFont="1" applyFill="1" applyAlignment="1">
      <alignment horizontal="center"/>
    </xf>
    <xf numFmtId="0" fontId="56" fillId="12" borderId="0" xfId="0" applyFont="1" applyFill="1" applyAlignment="1">
      <alignment horizontal="center"/>
    </xf>
    <xf numFmtId="0" fontId="47" fillId="14" borderId="17" xfId="0" applyFont="1" applyFill="1" applyBorder="1"/>
    <xf numFmtId="168" fontId="29" fillId="0" borderId="0" xfId="0" applyNumberFormat="1" applyFont="1"/>
    <xf numFmtId="0" fontId="47" fillId="14" borderId="7" xfId="0" applyFont="1" applyFill="1" applyBorder="1" applyAlignment="1">
      <alignment horizontal="center"/>
    </xf>
    <xf numFmtId="0" fontId="47" fillId="8" borderId="7" xfId="0" applyFont="1" applyFill="1" applyBorder="1" applyAlignment="1">
      <alignment horizontal="center"/>
    </xf>
    <xf numFmtId="0" fontId="57" fillId="15" borderId="16" xfId="0" applyFont="1" applyFill="1" applyBorder="1"/>
    <xf numFmtId="0" fontId="47" fillId="14" borderId="17" xfId="0" applyFont="1" applyFill="1" applyBorder="1" applyAlignment="1">
      <alignment horizontal="center"/>
    </xf>
    <xf numFmtId="0" fontId="47" fillId="8" borderId="17" xfId="0" applyFont="1" applyFill="1" applyBorder="1" applyAlignment="1">
      <alignment horizontal="center"/>
    </xf>
    <xf numFmtId="0" fontId="47" fillId="8" borderId="18" xfId="0" applyFont="1" applyFill="1" applyBorder="1" applyAlignment="1">
      <alignment horizontal="center"/>
    </xf>
    <xf numFmtId="0" fontId="57" fillId="15" borderId="17" xfId="0" applyFont="1" applyFill="1" applyBorder="1"/>
    <xf numFmtId="0" fontId="0" fillId="0" borderId="13" xfId="0" applyBorder="1"/>
    <xf numFmtId="9" fontId="40" fillId="6" borderId="1" xfId="10" applyFont="1" applyFill="1" applyBorder="1"/>
    <xf numFmtId="44" fontId="40" fillId="6" borderId="1" xfId="2" applyFont="1" applyFill="1" applyBorder="1"/>
    <xf numFmtId="0" fontId="46" fillId="3" borderId="0" xfId="0" applyFont="1" applyFill="1"/>
    <xf numFmtId="0" fontId="56" fillId="10" borderId="0" xfId="0" applyFont="1" applyFill="1" applyAlignment="1">
      <alignment horizontal="center"/>
    </xf>
    <xf numFmtId="0" fontId="56" fillId="5" borderId="0" xfId="0" applyFont="1" applyFill="1" applyAlignment="1">
      <alignment horizontal="center"/>
    </xf>
    <xf numFmtId="0" fontId="46" fillId="0" borderId="0" xfId="0" applyFont="1" applyAlignment="1">
      <alignment horizontal="center"/>
    </xf>
    <xf numFmtId="169" fontId="0" fillId="0" borderId="0" xfId="0" applyNumberFormat="1"/>
    <xf numFmtId="43" fontId="0" fillId="0" borderId="0" xfId="0" applyNumberFormat="1"/>
    <xf numFmtId="44" fontId="23" fillId="0" borderId="0" xfId="2" applyFont="1"/>
    <xf numFmtId="170" fontId="0" fillId="0" borderId="0" xfId="0" applyNumberFormat="1" applyAlignment="1">
      <alignment horizontal="center"/>
    </xf>
    <xf numFmtId="170" fontId="46" fillId="0" borderId="0" xfId="0" applyNumberFormat="1" applyFont="1" applyAlignment="1">
      <alignment horizontal="center"/>
    </xf>
    <xf numFmtId="170" fontId="0" fillId="0" borderId="0" xfId="0" applyNumberFormat="1"/>
    <xf numFmtId="0" fontId="58" fillId="0" borderId="0" xfId="0" applyFont="1"/>
    <xf numFmtId="0" fontId="23" fillId="0" borderId="0" xfId="0" applyFont="1" applyAlignment="1">
      <alignment horizontal="left" indent="2"/>
    </xf>
    <xf numFmtId="164" fontId="23" fillId="0" borderId="0" xfId="0" applyNumberFormat="1" applyFont="1"/>
    <xf numFmtId="164" fontId="24" fillId="0" borderId="0" xfId="1" applyNumberFormat="1" applyFont="1"/>
    <xf numFmtId="164" fontId="23" fillId="0" borderId="0" xfId="1" applyNumberFormat="1" applyFont="1"/>
    <xf numFmtId="0" fontId="31" fillId="0" borderId="17" xfId="0" applyFont="1" applyBorder="1"/>
    <xf numFmtId="164" fontId="31" fillId="0" borderId="17" xfId="1" applyNumberFormat="1" applyFont="1" applyBorder="1"/>
    <xf numFmtId="0" fontId="23" fillId="0" borderId="0" xfId="0" applyFont="1" applyAlignment="1">
      <alignment horizontal="left" indent="1"/>
    </xf>
    <xf numFmtId="164" fontId="31" fillId="0" borderId="0" xfId="1" applyNumberFormat="1" applyFont="1" applyBorder="1"/>
    <xf numFmtId="0" fontId="31" fillId="6" borderId="0" xfId="0" applyFont="1" applyFill="1"/>
    <xf numFmtId="164" fontId="31" fillId="6" borderId="0" xfId="0" applyNumberFormat="1" applyFont="1" applyFill="1"/>
    <xf numFmtId="43" fontId="23" fillId="3" borderId="0" xfId="0" applyNumberFormat="1" applyFont="1" applyFill="1"/>
    <xf numFmtId="9" fontId="23" fillId="3" borderId="0" xfId="0" applyNumberFormat="1" applyFont="1" applyFill="1"/>
    <xf numFmtId="0" fontId="60" fillId="2" borderId="0" xfId="0" applyFont="1" applyFill="1" applyAlignment="1">
      <alignment horizontal="center"/>
    </xf>
    <xf numFmtId="0" fontId="59" fillId="0" borderId="0" xfId="0" quotePrefix="1" applyFont="1" applyAlignment="1">
      <alignment horizontal="right"/>
    </xf>
    <xf numFmtId="0" fontId="31" fillId="0" borderId="0" xfId="0" applyFont="1" applyBorder="1"/>
    <xf numFmtId="0" fontId="30" fillId="0" borderId="0" xfId="0" applyFont="1"/>
    <xf numFmtId="164" fontId="30" fillId="0" borderId="0" xfId="1" applyNumberFormat="1" applyFont="1"/>
    <xf numFmtId="164" fontId="30" fillId="0" borderId="0" xfId="1" applyNumberFormat="1" applyFont="1" applyFill="1"/>
    <xf numFmtId="164" fontId="30" fillId="0" borderId="0" xfId="0" applyNumberFormat="1" applyFont="1"/>
    <xf numFmtId="164" fontId="24" fillId="0" borderId="17" xfId="1" applyNumberFormat="1" applyFont="1" applyBorder="1"/>
    <xf numFmtId="164" fontId="24" fillId="0" borderId="0" xfId="1" applyNumberFormat="1" applyFont="1" applyBorder="1"/>
    <xf numFmtId="164" fontId="24" fillId="6" borderId="0" xfId="0" applyNumberFormat="1" applyFont="1" applyFill="1"/>
    <xf numFmtId="9" fontId="26" fillId="4" borderId="0" xfId="10" applyFont="1" applyFill="1" applyBorder="1" applyAlignment="1" applyProtection="1">
      <alignment vertical="center"/>
      <protection locked="0"/>
    </xf>
    <xf numFmtId="0" fontId="23" fillId="0" borderId="0" xfId="0" applyFont="1" applyBorder="1"/>
    <xf numFmtId="0" fontId="0" fillId="0" borderId="0" xfId="0" applyAlignment="1">
      <alignment horizontal="right"/>
    </xf>
    <xf numFmtId="0" fontId="30" fillId="0" borderId="0" xfId="0" quotePrefix="1" applyFont="1" applyAlignment="1">
      <alignment horizontal="right"/>
    </xf>
    <xf numFmtId="171" fontId="29" fillId="0" borderId="0" xfId="0" applyNumberFormat="1" applyFont="1"/>
    <xf numFmtId="172" fontId="23" fillId="0" borderId="0" xfId="0" applyNumberFormat="1" applyFont="1"/>
    <xf numFmtId="164" fontId="0" fillId="0" borderId="0" xfId="1" applyNumberFormat="1" applyFont="1" applyFill="1" applyBorder="1"/>
    <xf numFmtId="164" fontId="0" fillId="0" borderId="0" xfId="1" applyNumberFormat="1" applyFont="1" applyFill="1" applyBorder="1" applyAlignment="1">
      <alignment wrapText="1"/>
    </xf>
    <xf numFmtId="164" fontId="0" fillId="0" borderId="0" xfId="1" applyNumberFormat="1" applyFont="1" applyFill="1" applyBorder="1" applyAlignment="1"/>
    <xf numFmtId="0" fontId="57" fillId="16" borderId="8" xfId="0" applyFont="1" applyFill="1" applyBorder="1"/>
    <xf numFmtId="0" fontId="57" fillId="16" borderId="0" xfId="0" applyFont="1" applyFill="1" applyBorder="1"/>
    <xf numFmtId="0" fontId="46" fillId="0" borderId="0" xfId="0" applyFont="1" applyBorder="1" applyAlignment="1">
      <alignment wrapText="1"/>
    </xf>
    <xf numFmtId="0" fontId="0" fillId="0" borderId="0" xfId="0" applyFont="1" applyBorder="1" applyAlignment="1">
      <alignment horizontal="left" wrapText="1"/>
    </xf>
    <xf numFmtId="44" fontId="0" fillId="0" borderId="0" xfId="2" applyNumberFormat="1" applyFont="1" applyBorder="1"/>
    <xf numFmtId="0" fontId="0" fillId="0" borderId="0" xfId="0" applyFont="1" applyBorder="1" applyAlignment="1">
      <alignment wrapText="1"/>
    </xf>
    <xf numFmtId="0" fontId="4" fillId="0" borderId="0" xfId="8" applyAlignment="1">
      <alignment horizontal="right"/>
    </xf>
    <xf numFmtId="0" fontId="24" fillId="0" borderId="2" xfId="0" applyNumberFormat="1" applyFont="1" applyBorder="1" applyAlignment="1">
      <alignment horizontal="center"/>
    </xf>
    <xf numFmtId="164" fontId="61" fillId="0" borderId="0" xfId="1" applyNumberFormat="1" applyFont="1"/>
    <xf numFmtId="168" fontId="30" fillId="0" borderId="0" xfId="10" applyNumberFormat="1" applyFont="1"/>
    <xf numFmtId="168" fontId="30" fillId="0" borderId="0" xfId="0" applyNumberFormat="1" applyFont="1"/>
    <xf numFmtId="168" fontId="23" fillId="0" borderId="0" xfId="0" applyNumberFormat="1" applyFont="1"/>
    <xf numFmtId="0" fontId="30" fillId="0" borderId="0" xfId="0" applyFont="1" applyBorder="1"/>
    <xf numFmtId="164" fontId="60" fillId="2" borderId="0" xfId="0" applyNumberFormat="1" applyFont="1" applyFill="1" applyAlignment="1">
      <alignment horizontal="center"/>
    </xf>
    <xf numFmtId="0" fontId="31" fillId="0" borderId="0" xfId="0" applyFont="1"/>
    <xf numFmtId="168" fontId="61" fillId="0" borderId="0" xfId="10" applyNumberFormat="1" applyFont="1"/>
    <xf numFmtId="2" fontId="61" fillId="0" borderId="0" xfId="10" applyNumberFormat="1" applyFont="1"/>
    <xf numFmtId="2" fontId="30" fillId="0" borderId="0" xfId="10" applyNumberFormat="1" applyFont="1"/>
    <xf numFmtId="0" fontId="56" fillId="17" borderId="0" xfId="0" applyFont="1" applyFill="1"/>
    <xf numFmtId="0" fontId="56" fillId="17" borderId="0" xfId="0" applyFont="1" applyFill="1" applyAlignment="1">
      <alignment horizontal="center"/>
    </xf>
    <xf numFmtId="0" fontId="56" fillId="5" borderId="0" xfId="0" applyFont="1" applyFill="1"/>
    <xf numFmtId="44" fontId="27" fillId="0" borderId="0" xfId="2" applyFont="1"/>
    <xf numFmtId="0" fontId="62" fillId="0" borderId="0" xfId="0" applyFont="1"/>
    <xf numFmtId="0" fontId="63" fillId="0" borderId="0" xfId="0" applyFont="1"/>
    <xf numFmtId="0" fontId="0" fillId="0" borderId="0" xfId="0" applyNumberFormat="1"/>
    <xf numFmtId="173" fontId="0" fillId="0" borderId="0" xfId="0" applyNumberFormat="1"/>
    <xf numFmtId="0" fontId="64" fillId="0" borderId="0" xfId="0" applyFont="1" applyBorder="1"/>
    <xf numFmtId="0" fontId="57" fillId="18" borderId="16" xfId="0" applyFont="1" applyFill="1" applyBorder="1"/>
    <xf numFmtId="0" fontId="57" fillId="18" borderId="17" xfId="0" applyFont="1" applyFill="1" applyBorder="1"/>
    <xf numFmtId="0" fontId="57" fillId="18" borderId="17" xfId="0" applyFont="1" applyFill="1" applyBorder="1" applyAlignment="1">
      <alignment horizontal="center"/>
    </xf>
    <xf numFmtId="44" fontId="57" fillId="18" borderId="17" xfId="2" applyFont="1" applyFill="1" applyBorder="1" applyAlignment="1">
      <alignment horizontal="center"/>
    </xf>
    <xf numFmtId="44" fontId="0" fillId="0" borderId="13" xfId="2" applyFont="1" applyBorder="1"/>
    <xf numFmtId="44" fontId="0" fillId="0" borderId="7" xfId="2" applyFont="1" applyBorder="1"/>
    <xf numFmtId="44" fontId="57" fillId="18" borderId="18" xfId="2" applyFont="1" applyFill="1" applyBorder="1" applyAlignment="1">
      <alignment horizontal="center"/>
    </xf>
    <xf numFmtId="0" fontId="0" fillId="0" borderId="0" xfId="0" applyFill="1" applyBorder="1"/>
    <xf numFmtId="0" fontId="0" fillId="0" borderId="7" xfId="0" applyFill="1" applyBorder="1"/>
    <xf numFmtId="0" fontId="56" fillId="0" borderId="0" xfId="0" applyFont="1" applyFill="1"/>
    <xf numFmtId="0" fontId="56" fillId="0" borderId="0" xfId="0" applyFont="1" applyFill="1" applyAlignment="1">
      <alignment horizontal="center"/>
    </xf>
    <xf numFmtId="170" fontId="0" fillId="0" borderId="0" xfId="0" applyNumberFormat="1" applyFill="1" applyAlignment="1">
      <alignment horizontal="center"/>
    </xf>
    <xf numFmtId="170" fontId="56" fillId="10" borderId="0" xfId="0" applyNumberFormat="1" applyFont="1" applyFill="1" applyAlignment="1">
      <alignment horizontal="center"/>
    </xf>
    <xf numFmtId="44" fontId="26" fillId="4" borderId="0" xfId="9" applyNumberFormat="1" applyFont="1" applyFill="1" applyBorder="1" applyAlignment="1" applyProtection="1">
      <alignment horizontal="right" vertical="center"/>
      <protection locked="0"/>
    </xf>
    <xf numFmtId="0" fontId="0" fillId="0" borderId="0" xfId="0" applyAlignment="1"/>
    <xf numFmtId="2" fontId="0" fillId="0" borderId="0" xfId="0" applyNumberFormat="1"/>
    <xf numFmtId="9" fontId="0" fillId="0" borderId="0" xfId="10" applyFont="1"/>
    <xf numFmtId="44" fontId="24" fillId="0" borderId="0" xfId="0" applyNumberFormat="1" applyFont="1" applyBorder="1"/>
    <xf numFmtId="44" fontId="0" fillId="3" borderId="0" xfId="0" applyNumberFormat="1" applyFill="1"/>
    <xf numFmtId="44" fontId="67" fillId="3" borderId="0" xfId="0" applyNumberFormat="1" applyFont="1" applyFill="1"/>
    <xf numFmtId="0" fontId="67" fillId="3" borderId="0" xfId="0" applyFont="1" applyFill="1"/>
    <xf numFmtId="0" fontId="68" fillId="0" borderId="0" xfId="0" applyFont="1" applyAlignment="1">
      <alignment horizontal="center"/>
    </xf>
    <xf numFmtId="0" fontId="69" fillId="3" borderId="0" xfId="0" applyFont="1" applyFill="1"/>
    <xf numFmtId="170" fontId="56" fillId="12" borderId="0" xfId="0" applyNumberFormat="1" applyFont="1" applyFill="1" applyAlignment="1">
      <alignment horizontal="center"/>
    </xf>
    <xf numFmtId="0" fontId="70" fillId="0" borderId="0" xfId="0" applyFont="1"/>
    <xf numFmtId="0" fontId="71" fillId="19" borderId="0" xfId="0" applyFont="1" applyFill="1"/>
    <xf numFmtId="0" fontId="71" fillId="19" borderId="0" xfId="0" applyFont="1" applyFill="1" applyAlignment="1">
      <alignment horizontal="center"/>
    </xf>
    <xf numFmtId="0" fontId="56" fillId="20" borderId="0" xfId="0" applyFont="1" applyFill="1"/>
    <xf numFmtId="0" fontId="56" fillId="20" borderId="0" xfId="0" applyFont="1" applyFill="1" applyAlignment="1">
      <alignment horizontal="center"/>
    </xf>
    <xf numFmtId="0" fontId="71" fillId="21" borderId="0" xfId="0" applyFont="1" applyFill="1"/>
    <xf numFmtId="0" fontId="71" fillId="21" borderId="0" xfId="0" applyFont="1" applyFill="1" applyAlignment="1">
      <alignment horizontal="center"/>
    </xf>
    <xf numFmtId="170" fontId="56" fillId="13" borderId="0" xfId="0" applyNumberFormat="1" applyFont="1" applyFill="1" applyAlignment="1">
      <alignment horizontal="center"/>
    </xf>
    <xf numFmtId="10" fontId="26" fillId="4" borderId="0" xfId="10" applyNumberFormat="1" applyFont="1" applyFill="1" applyBorder="1" applyAlignment="1" applyProtection="1">
      <alignment horizontal="right" vertical="center"/>
      <protection locked="0"/>
    </xf>
    <xf numFmtId="0" fontId="72" fillId="2" borderId="0" xfId="0" applyFont="1" applyFill="1"/>
    <xf numFmtId="41" fontId="40" fillId="6" borderId="14" xfId="5" applyNumberFormat="1" applyFont="1" applyFill="1" applyBorder="1"/>
    <xf numFmtId="41" fontId="40" fillId="6" borderId="10" xfId="5" applyNumberFormat="1" applyFont="1" applyFill="1" applyBorder="1"/>
    <xf numFmtId="41" fontId="40" fillId="6" borderId="15" xfId="5" applyNumberFormat="1" applyFont="1" applyFill="1" applyBorder="1"/>
    <xf numFmtId="174" fontId="40" fillId="6" borderId="14" xfId="5" applyNumberFormat="1" applyFont="1" applyFill="1" applyBorder="1"/>
    <xf numFmtId="174" fontId="40" fillId="6" borderId="10" xfId="5" applyNumberFormat="1" applyFont="1" applyFill="1" applyBorder="1"/>
    <xf numFmtId="174" fontId="40" fillId="6" borderId="15" xfId="5" applyNumberFormat="1" applyFont="1" applyFill="1" applyBorder="1"/>
    <xf numFmtId="0" fontId="73" fillId="0" borderId="0" xfId="4" applyFont="1"/>
    <xf numFmtId="44" fontId="74" fillId="0" borderId="0" xfId="2" applyFont="1" applyFill="1" applyBorder="1"/>
    <xf numFmtId="0" fontId="17" fillId="0" borderId="0" xfId="4" applyFont="1" applyAlignment="1">
      <alignment wrapText="1"/>
    </xf>
    <xf numFmtId="0" fontId="47" fillId="14" borderId="0" xfId="0" applyFont="1" applyFill="1" applyBorder="1"/>
    <xf numFmtId="0" fontId="0" fillId="0" borderId="0" xfId="0" applyFont="1" applyBorder="1"/>
    <xf numFmtId="2" fontId="0" fillId="0" borderId="0" xfId="0" applyNumberFormat="1" applyBorder="1"/>
    <xf numFmtId="0" fontId="75" fillId="0" borderId="19" xfId="0" applyFont="1" applyBorder="1"/>
    <xf numFmtId="0" fontId="68" fillId="0" borderId="20" xfId="0" applyFont="1" applyBorder="1"/>
    <xf numFmtId="2" fontId="0" fillId="0" borderId="2" xfId="0" applyNumberFormat="1" applyBorder="1"/>
    <xf numFmtId="44" fontId="0" fillId="0" borderId="23" xfId="2" applyFont="1" applyBorder="1"/>
    <xf numFmtId="0" fontId="0" fillId="0" borderId="2" xfId="0" applyFont="1" applyBorder="1"/>
    <xf numFmtId="44" fontId="0" fillId="0" borderId="25" xfId="2" applyFont="1" applyBorder="1"/>
    <xf numFmtId="0" fontId="68" fillId="0" borderId="0" xfId="0" applyFont="1"/>
    <xf numFmtId="2" fontId="0" fillId="9" borderId="0" xfId="2" applyNumberFormat="1" applyFont="1" applyFill="1" applyBorder="1"/>
    <xf numFmtId="0" fontId="46" fillId="0" borderId="10" xfId="0" applyFont="1" applyBorder="1"/>
    <xf numFmtId="0" fontId="62" fillId="0" borderId="0" xfId="0" applyFont="1" applyFill="1"/>
    <xf numFmtId="170" fontId="56" fillId="5" borderId="0" xfId="0" applyNumberFormat="1" applyFont="1" applyFill="1" applyAlignment="1">
      <alignment horizontal="center"/>
    </xf>
    <xf numFmtId="170" fontId="56" fillId="17" borderId="0" xfId="0" applyNumberFormat="1" applyFont="1" applyFill="1" applyAlignment="1">
      <alignment horizontal="center"/>
    </xf>
    <xf numFmtId="0" fontId="0" fillId="0" borderId="0" xfId="1" applyNumberFormat="1" applyFont="1" applyBorder="1"/>
    <xf numFmtId="0" fontId="0" fillId="0" borderId="13" xfId="1" applyNumberFormat="1" applyFont="1" applyBorder="1"/>
    <xf numFmtId="169" fontId="67" fillId="3" borderId="0" xfId="0" applyNumberFormat="1" applyFont="1" applyFill="1"/>
    <xf numFmtId="0" fontId="77" fillId="2" borderId="0" xfId="0" applyFont="1" applyFill="1"/>
    <xf numFmtId="2" fontId="0" fillId="9" borderId="0" xfId="1" applyNumberFormat="1" applyFont="1" applyFill="1" applyBorder="1"/>
    <xf numFmtId="0" fontId="0" fillId="9" borderId="0" xfId="2" applyNumberFormat="1" applyFont="1" applyFill="1" applyBorder="1"/>
    <xf numFmtId="0" fontId="0" fillId="9" borderId="0" xfId="1" applyNumberFormat="1" applyFont="1" applyFill="1" applyBorder="1"/>
    <xf numFmtId="2" fontId="0" fillId="0" borderId="0" xfId="1" applyNumberFormat="1" applyFont="1"/>
    <xf numFmtId="2" fontId="47" fillId="14" borderId="18" xfId="0" applyNumberFormat="1" applyFont="1" applyFill="1" applyBorder="1"/>
    <xf numFmtId="0" fontId="0" fillId="0" borderId="0" xfId="0" applyFont="1" applyFill="1" applyBorder="1"/>
    <xf numFmtId="43" fontId="0" fillId="0" borderId="0" xfId="1" applyFont="1" applyFill="1" applyBorder="1"/>
    <xf numFmtId="170" fontId="76" fillId="23" borderId="0" xfId="12" applyNumberFormat="1" applyFill="1" applyAlignment="1">
      <alignment horizontal="center"/>
    </xf>
    <xf numFmtId="0" fontId="76" fillId="23" borderId="0" xfId="12" applyFill="1" applyAlignment="1">
      <alignment horizontal="center"/>
    </xf>
    <xf numFmtId="0" fontId="78" fillId="23" borderId="0" xfId="12" applyFont="1" applyFill="1"/>
    <xf numFmtId="0" fontId="2" fillId="0" borderId="30" xfId="0" applyFont="1" applyBorder="1" applyAlignment="1">
      <alignment horizontal="center"/>
    </xf>
    <xf numFmtId="44" fontId="2" fillId="0" borderId="5" xfId="0" applyNumberFormat="1" applyFont="1" applyBorder="1"/>
    <xf numFmtId="0" fontId="2" fillId="0" borderId="6" xfId="0" applyFont="1" applyBorder="1" applyAlignment="1">
      <alignment horizontal="center"/>
    </xf>
    <xf numFmtId="1" fontId="0" fillId="0" borderId="18" xfId="0" applyNumberFormat="1" applyBorder="1" applyAlignment="1">
      <alignment horizontal="right" indent="1"/>
    </xf>
    <xf numFmtId="44" fontId="0" fillId="0" borderId="33" xfId="0" applyNumberFormat="1" applyBorder="1"/>
    <xf numFmtId="0" fontId="25" fillId="0" borderId="1" xfId="0" applyFont="1" applyBorder="1" applyProtection="1">
      <protection locked="0"/>
    </xf>
    <xf numFmtId="37" fontId="79" fillId="0" borderId="1" xfId="2" applyNumberFormat="1" applyFont="1" applyFill="1" applyBorder="1" applyAlignment="1" applyProtection="1">
      <alignment horizontal="center" vertical="center"/>
      <protection locked="0"/>
    </xf>
    <xf numFmtId="1" fontId="79" fillId="0" borderId="1" xfId="0" applyNumberFormat="1" applyFont="1" applyBorder="1" applyAlignment="1">
      <alignment horizontal="center"/>
    </xf>
    <xf numFmtId="0" fontId="80" fillId="0" borderId="22" xfId="0" applyFont="1" applyBorder="1" applyAlignment="1">
      <alignment horizontal="center" vertical="center" wrapText="1"/>
    </xf>
    <xf numFmtId="0" fontId="80" fillId="0" borderId="0" xfId="0" applyFont="1" applyAlignment="1">
      <alignment horizontal="center" vertical="center" wrapText="1"/>
    </xf>
    <xf numFmtId="0" fontId="2" fillId="24" borderId="32" xfId="0" applyFont="1" applyFill="1" applyBorder="1" applyAlignment="1">
      <alignment horizontal="center"/>
    </xf>
    <xf numFmtId="44" fontId="2" fillId="24" borderId="1" xfId="0" applyNumberFormat="1" applyFont="1" applyFill="1" applyBorder="1"/>
    <xf numFmtId="0" fontId="2" fillId="24" borderId="1" xfId="0" applyFont="1" applyFill="1" applyBorder="1" applyAlignment="1">
      <alignment horizontal="center"/>
    </xf>
    <xf numFmtId="0" fontId="2" fillId="24" borderId="1" xfId="0" applyFont="1" applyFill="1" applyBorder="1" applyAlignment="1">
      <alignment horizontal="center" wrapText="1"/>
    </xf>
    <xf numFmtId="0" fontId="2" fillId="24" borderId="33" xfId="0" applyFont="1" applyFill="1" applyBorder="1" applyAlignment="1">
      <alignment horizontal="center"/>
    </xf>
    <xf numFmtId="0" fontId="2" fillId="24" borderId="30" xfId="0" applyFont="1" applyFill="1" applyBorder="1" applyAlignment="1">
      <alignment horizontal="center" wrapText="1"/>
    </xf>
    <xf numFmtId="0" fontId="80" fillId="0" borderId="0" xfId="0" applyFont="1" applyBorder="1" applyAlignment="1">
      <alignment horizontal="center" vertical="center" wrapText="1"/>
    </xf>
    <xf numFmtId="0" fontId="80" fillId="0" borderId="0" xfId="0" applyFont="1" applyBorder="1" applyAlignment="1">
      <alignment horizontal="right"/>
    </xf>
    <xf numFmtId="44" fontId="81" fillId="0" borderId="0" xfId="0" applyNumberFormat="1" applyFont="1" applyBorder="1" applyAlignment="1">
      <alignment horizontal="right" vertical="center"/>
    </xf>
    <xf numFmtId="44" fontId="81" fillId="0" borderId="0" xfId="0" applyNumberFormat="1" applyFont="1" applyBorder="1" applyAlignment="1">
      <alignment wrapText="1"/>
    </xf>
    <xf numFmtId="3" fontId="80" fillId="0" borderId="0" xfId="0" applyNumberFormat="1" applyFont="1" applyBorder="1" applyAlignment="1">
      <alignment horizontal="center" vertical="center" wrapText="1"/>
    </xf>
    <xf numFmtId="44" fontId="79" fillId="0" borderId="14" xfId="0" applyNumberFormat="1" applyFont="1" applyBorder="1"/>
    <xf numFmtId="44" fontId="80" fillId="0" borderId="26" xfId="0" applyNumberFormat="1" applyFont="1" applyBorder="1"/>
    <xf numFmtId="0" fontId="80" fillId="0" borderId="26" xfId="0" applyFont="1" applyBorder="1" applyAlignment="1">
      <alignment horizontal="center" vertical="center" wrapText="1"/>
    </xf>
    <xf numFmtId="4" fontId="82" fillId="0" borderId="26" xfId="0" applyNumberFormat="1" applyFont="1" applyBorder="1" applyAlignment="1">
      <alignment horizontal="center" vertical="center" wrapText="1"/>
    </xf>
    <xf numFmtId="168" fontId="82" fillId="0" borderId="26" xfId="10" applyNumberFormat="1" applyFont="1" applyBorder="1" applyAlignment="1">
      <alignment horizontal="center" vertical="center" wrapText="1"/>
    </xf>
    <xf numFmtId="10" fontId="82" fillId="0" borderId="26" xfId="10" applyNumberFormat="1" applyFont="1" applyBorder="1" applyAlignment="1">
      <alignment horizontal="center" vertical="center" wrapText="1"/>
    </xf>
    <xf numFmtId="37" fontId="25" fillId="0" borderId="1" xfId="0" applyNumberFormat="1" applyFont="1" applyBorder="1" applyProtection="1">
      <protection locked="0"/>
    </xf>
    <xf numFmtId="44" fontId="83" fillId="0" borderId="26" xfId="2" applyFont="1" applyBorder="1" applyAlignment="1">
      <alignment horizontal="center" vertical="center" wrapText="1"/>
    </xf>
    <xf numFmtId="1" fontId="27" fillId="5" borderId="0" xfId="2" applyNumberFormat="1" applyFont="1" applyFill="1" applyBorder="1" applyAlignment="1" applyProtection="1">
      <alignment vertical="center"/>
      <protection locked="0"/>
    </xf>
    <xf numFmtId="1" fontId="27" fillId="5" borderId="0" xfId="9" applyNumberFormat="1" applyFont="1" applyFill="1" applyBorder="1" applyAlignment="1" applyProtection="1">
      <alignment vertical="center"/>
      <protection locked="0"/>
    </xf>
    <xf numFmtId="1" fontId="28" fillId="5" borderId="0" xfId="9" applyNumberFormat="1" applyFont="1" applyFill="1"/>
    <xf numFmtId="0" fontId="80" fillId="0" borderId="22" xfId="0" applyFont="1" applyBorder="1" applyAlignment="1">
      <alignment vertical="center" wrapText="1"/>
    </xf>
    <xf numFmtId="0" fontId="80" fillId="0" borderId="23" xfId="0" applyFont="1" applyBorder="1" applyAlignment="1">
      <alignment vertical="center" wrapText="1"/>
    </xf>
    <xf numFmtId="0" fontId="80" fillId="0" borderId="24" xfId="0" applyFont="1" applyBorder="1" applyAlignment="1">
      <alignment vertical="center" wrapText="1"/>
    </xf>
    <xf numFmtId="0" fontId="80" fillId="0" borderId="2" xfId="0" applyFont="1" applyBorder="1" applyAlignment="1">
      <alignment vertical="center" wrapText="1"/>
    </xf>
    <xf numFmtId="0" fontId="80" fillId="0" borderId="25" xfId="0" applyFont="1" applyBorder="1" applyAlignment="1">
      <alignment vertical="center" wrapText="1"/>
    </xf>
    <xf numFmtId="44" fontId="80" fillId="0" borderId="26" xfId="0" applyNumberFormat="1" applyFont="1" applyBorder="1" applyAlignment="1">
      <alignment horizontal="center" wrapText="1"/>
    </xf>
    <xf numFmtId="9" fontId="79" fillId="0" borderId="1" xfId="10" applyFont="1" applyFill="1" applyBorder="1" applyAlignment="1" applyProtection="1">
      <alignment horizontal="center" vertical="center"/>
      <protection locked="0"/>
    </xf>
    <xf numFmtId="2" fontId="82" fillId="0" borderId="26" xfId="10" applyNumberFormat="1" applyFont="1" applyBorder="1" applyAlignment="1">
      <alignment horizontal="center" vertical="center" wrapText="1"/>
    </xf>
    <xf numFmtId="2" fontId="0" fillId="0" borderId="1" xfId="0" applyNumberFormat="1" applyBorder="1" applyAlignment="1">
      <alignment horizontal="center"/>
    </xf>
    <xf numFmtId="2" fontId="0" fillId="0" borderId="14" xfId="0" applyNumberFormat="1" applyBorder="1" applyAlignment="1">
      <alignment horizontal="center"/>
    </xf>
    <xf numFmtId="2" fontId="79" fillId="0" borderId="14" xfId="0" applyNumberFormat="1" applyFont="1" applyBorder="1" applyAlignment="1">
      <alignment horizontal="center"/>
    </xf>
    <xf numFmtId="44" fontId="82" fillId="0" borderId="26" xfId="2" applyFont="1" applyBorder="1" applyAlignment="1">
      <alignment horizontal="center" vertical="center" wrapText="1"/>
    </xf>
    <xf numFmtId="0" fontId="25" fillId="0" borderId="32" xfId="0" applyFont="1" applyBorder="1" applyAlignment="1" applyProtection="1">
      <alignment horizontal="center"/>
      <protection locked="0"/>
    </xf>
    <xf numFmtId="44" fontId="0" fillId="0" borderId="34" xfId="0" applyNumberFormat="1" applyBorder="1"/>
    <xf numFmtId="44" fontId="79" fillId="0" borderId="34" xfId="0" applyNumberFormat="1" applyFont="1" applyBorder="1"/>
    <xf numFmtId="0" fontId="80" fillId="0" borderId="0" xfId="0" applyFont="1" applyBorder="1" applyAlignment="1">
      <alignment vertical="center" wrapText="1"/>
    </xf>
    <xf numFmtId="44" fontId="46" fillId="0" borderId="1" xfId="0" applyNumberFormat="1" applyFont="1" applyBorder="1"/>
    <xf numFmtId="10" fontId="26" fillId="4" borderId="0" xfId="10" applyNumberFormat="1" applyFont="1" applyFill="1" applyBorder="1" applyAlignment="1" applyProtection="1">
      <alignment vertical="center"/>
      <protection locked="0"/>
    </xf>
    <xf numFmtId="164" fontId="26" fillId="4" borderId="0" xfId="9" applyNumberFormat="1" applyFont="1" applyFill="1" applyBorder="1" applyAlignment="1" applyProtection="1">
      <alignment vertical="center"/>
    </xf>
    <xf numFmtId="166" fontId="84" fillId="4" borderId="0" xfId="9" applyNumberFormat="1" applyFont="1" applyFill="1" applyBorder="1" applyAlignment="1" applyProtection="1">
      <alignment horizontal="right" vertical="center"/>
      <protection locked="0"/>
    </xf>
    <xf numFmtId="0" fontId="38" fillId="0" borderId="0" xfId="0" applyFont="1"/>
    <xf numFmtId="164" fontId="26" fillId="4" borderId="0" xfId="9" applyNumberFormat="1" applyFont="1" applyFill="1" applyBorder="1" applyAlignment="1" applyProtection="1">
      <alignment horizontal="center" vertical="center"/>
    </xf>
    <xf numFmtId="0" fontId="0" fillId="0" borderId="0" xfId="0" applyFont="1"/>
    <xf numFmtId="0" fontId="85" fillId="0" borderId="0" xfId="0" applyFont="1" applyAlignment="1">
      <alignment wrapText="1"/>
    </xf>
    <xf numFmtId="0" fontId="86" fillId="0" borderId="0" xfId="0" applyFont="1" applyAlignment="1">
      <alignment vertical="top" wrapText="1"/>
    </xf>
    <xf numFmtId="0" fontId="87" fillId="0" borderId="0" xfId="0" applyFont="1" applyAlignment="1">
      <alignment horizontal="left" vertical="center" wrapText="1"/>
    </xf>
    <xf numFmtId="0" fontId="87" fillId="0" borderId="0" xfId="0" applyFont="1" applyAlignment="1">
      <alignment horizontal="left" wrapText="1"/>
    </xf>
    <xf numFmtId="2" fontId="88" fillId="0" borderId="0" xfId="0" applyNumberFormat="1" applyFont="1" applyAlignment="1">
      <alignment horizontal="left" vertical="top" shrinkToFit="1"/>
    </xf>
    <xf numFmtId="0" fontId="85" fillId="0" borderId="0" xfId="0" applyFont="1" applyAlignment="1">
      <alignment vertical="top" wrapText="1"/>
    </xf>
    <xf numFmtId="0" fontId="87" fillId="0" borderId="0" xfId="0" applyFont="1" applyAlignment="1">
      <alignment horizontal="left" vertical="top" wrapText="1"/>
    </xf>
    <xf numFmtId="2" fontId="88" fillId="0" borderId="0" xfId="0" applyNumberFormat="1" applyFont="1" applyAlignment="1">
      <alignment vertical="top" shrinkToFit="1"/>
    </xf>
    <xf numFmtId="4" fontId="88" fillId="0" borderId="0" xfId="0" applyNumberFormat="1" applyFont="1" applyAlignment="1">
      <alignment horizontal="left" vertical="top" indent="1" shrinkToFit="1"/>
    </xf>
    <xf numFmtId="4" fontId="88" fillId="0" borderId="0" xfId="0" applyNumberFormat="1" applyFont="1" applyAlignment="1">
      <alignment horizontal="right" vertical="top" shrinkToFit="1"/>
    </xf>
    <xf numFmtId="2" fontId="88" fillId="0" borderId="0" xfId="0" applyNumberFormat="1" applyFont="1" applyAlignment="1">
      <alignment vertical="center" shrinkToFit="1"/>
    </xf>
    <xf numFmtId="4" fontId="88" fillId="0" borderId="0" xfId="0" applyNumberFormat="1" applyFont="1" applyAlignment="1">
      <alignment horizontal="left" vertical="center" indent="1" shrinkToFit="1"/>
    </xf>
    <xf numFmtId="4" fontId="88" fillId="0" borderId="0" xfId="0" applyNumberFormat="1" applyFont="1" applyAlignment="1">
      <alignment horizontal="right" vertical="center" shrinkToFit="1"/>
    </xf>
    <xf numFmtId="4" fontId="88" fillId="0" borderId="0" xfId="0" applyNumberFormat="1" applyFont="1" applyAlignment="1">
      <alignment vertical="center" shrinkToFit="1"/>
    </xf>
    <xf numFmtId="0" fontId="89" fillId="0" borderId="0" xfId="0" applyFont="1" applyAlignment="1">
      <alignment vertical="center" wrapText="1"/>
    </xf>
    <xf numFmtId="0" fontId="0" fillId="0" borderId="0" xfId="2" applyNumberFormat="1" applyFont="1"/>
    <xf numFmtId="177" fontId="30" fillId="4" borderId="0" xfId="2" applyNumberFormat="1" applyFont="1" applyFill="1" applyBorder="1" applyAlignment="1" applyProtection="1">
      <alignment vertical="center"/>
      <protection locked="0"/>
    </xf>
    <xf numFmtId="177" fontId="24" fillId="4" borderId="3" xfId="2" applyNumberFormat="1" applyFont="1" applyFill="1" applyBorder="1" applyAlignment="1" applyProtection="1">
      <alignment vertical="center"/>
      <protection locked="0"/>
    </xf>
    <xf numFmtId="177" fontId="29" fillId="4" borderId="0" xfId="2" applyNumberFormat="1" applyFont="1" applyFill="1"/>
    <xf numFmtId="177" fontId="39" fillId="0" borderId="3" xfId="2" applyNumberFormat="1" applyFont="1" applyBorder="1"/>
    <xf numFmtId="0" fontId="38" fillId="2" borderId="0" xfId="0" applyFont="1" applyFill="1"/>
    <xf numFmtId="177" fontId="24" fillId="4" borderId="3" xfId="13" applyFont="1" applyFill="1" applyBorder="1" applyAlignment="1" applyProtection="1">
      <alignment vertical="center"/>
      <protection locked="0"/>
    </xf>
    <xf numFmtId="177" fontId="30" fillId="4" borderId="0" xfId="13" applyFont="1" applyFill="1" applyBorder="1" applyAlignment="1" applyProtection="1">
      <alignment vertical="center"/>
      <protection locked="0"/>
    </xf>
    <xf numFmtId="177" fontId="26" fillId="4" borderId="0" xfId="13" applyFont="1" applyFill="1" applyBorder="1" applyAlignment="1" applyProtection="1">
      <alignment vertical="center"/>
      <protection locked="0"/>
    </xf>
    <xf numFmtId="177" fontId="30" fillId="4" borderId="13" xfId="13" applyFont="1" applyFill="1" applyBorder="1" applyAlignment="1" applyProtection="1">
      <alignment vertical="center"/>
      <protection locked="0"/>
    </xf>
    <xf numFmtId="177" fontId="24" fillId="4" borderId="2" xfId="13" applyFont="1" applyFill="1" applyBorder="1" applyAlignment="1" applyProtection="1">
      <alignment vertical="center"/>
      <protection locked="0"/>
    </xf>
    <xf numFmtId="177" fontId="23" fillId="0" borderId="0" xfId="13" applyFont="1" applyFill="1" applyAlignment="1" applyProtection="1"/>
    <xf numFmtId="177" fontId="26" fillId="4" borderId="0" xfId="13" applyFont="1" applyFill="1" applyBorder="1" applyAlignment="1" applyProtection="1">
      <alignment horizontal="right" vertical="center"/>
      <protection locked="0"/>
    </xf>
    <xf numFmtId="177" fontId="27" fillId="3" borderId="0" xfId="13" applyFont="1" applyFill="1" applyBorder="1" applyAlignment="1" applyProtection="1">
      <alignment vertical="center"/>
      <protection locked="0"/>
    </xf>
    <xf numFmtId="1" fontId="26" fillId="4" borderId="0" xfId="13" applyNumberFormat="1" applyFont="1" applyFill="1" applyBorder="1" applyAlignment="1" applyProtection="1">
      <alignment vertical="center"/>
      <protection locked="0"/>
    </xf>
    <xf numFmtId="178" fontId="4" fillId="0" borderId="0" xfId="14" applyFont="1" applyFill="1" applyBorder="1" applyAlignment="1" applyProtection="1"/>
    <xf numFmtId="178" fontId="24" fillId="0" borderId="0" xfId="14" applyFont="1" applyFill="1" applyBorder="1" applyAlignment="1" applyProtection="1"/>
    <xf numFmtId="178" fontId="4" fillId="4" borderId="0" xfId="14" applyFont="1" applyFill="1" applyBorder="1" applyAlignment="1" applyProtection="1">
      <alignment vertical="center"/>
      <protection locked="0"/>
    </xf>
    <xf numFmtId="178" fontId="55" fillId="0" borderId="0" xfId="14" applyFont="1" applyFill="1" applyAlignment="1" applyProtection="1"/>
    <xf numFmtId="0" fontId="24" fillId="0" borderId="2" xfId="14" applyNumberFormat="1" applyFont="1" applyFill="1" applyBorder="1" applyAlignment="1" applyProtection="1">
      <alignment horizontal="center"/>
    </xf>
    <xf numFmtId="178" fontId="61" fillId="0" borderId="0" xfId="14" applyFont="1" applyFill="1" applyAlignment="1" applyProtection="1"/>
    <xf numFmtId="178" fontId="30" fillId="0" borderId="0" xfId="14" applyFont="1" applyFill="1" applyAlignment="1" applyProtection="1"/>
    <xf numFmtId="178" fontId="24" fillId="0" borderId="0" xfId="14" applyFont="1" applyFill="1" applyAlignment="1" applyProtection="1"/>
    <xf numFmtId="178" fontId="24" fillId="0" borderId="17" xfId="14" applyFont="1" applyFill="1" applyBorder="1" applyAlignment="1" applyProtection="1"/>
    <xf numFmtId="178" fontId="24" fillId="6" borderId="0" xfId="14" applyFont="1" applyFill="1" applyAlignment="1" applyProtection="1"/>
    <xf numFmtId="0" fontId="80" fillId="0" borderId="22" xfId="0" applyFont="1" applyBorder="1" applyAlignment="1">
      <alignment horizontal="center" vertical="center" wrapText="1"/>
    </xf>
    <xf numFmtId="0" fontId="80" fillId="0" borderId="0" xfId="0" applyFont="1" applyAlignment="1">
      <alignment horizontal="center" vertical="center" wrapText="1"/>
    </xf>
    <xf numFmtId="177" fontId="24" fillId="4" borderId="0" xfId="13" applyFont="1" applyFill="1" applyBorder="1" applyAlignment="1" applyProtection="1">
      <alignment vertical="center"/>
      <protection locked="0"/>
    </xf>
    <xf numFmtId="169" fontId="69" fillId="3" borderId="0" xfId="0" applyNumberFormat="1" applyFont="1" applyFill="1"/>
    <xf numFmtId="166" fontId="26" fillId="4" borderId="13" xfId="9" applyNumberFormat="1" applyFont="1" applyFill="1" applyBorder="1" applyAlignment="1" applyProtection="1">
      <alignment vertical="center"/>
      <protection locked="0"/>
    </xf>
    <xf numFmtId="166" fontId="30" fillId="4" borderId="13" xfId="9" applyNumberFormat="1" applyFont="1" applyFill="1" applyBorder="1" applyAlignment="1" applyProtection="1">
      <alignment vertical="center"/>
      <protection locked="0"/>
    </xf>
    <xf numFmtId="44" fontId="30" fillId="4" borderId="13" xfId="2" applyFont="1" applyFill="1" applyBorder="1" applyAlignment="1" applyProtection="1">
      <alignment vertical="center"/>
      <protection locked="0"/>
    </xf>
    <xf numFmtId="44" fontId="27" fillId="5" borderId="13" xfId="2" applyFont="1" applyFill="1" applyBorder="1" applyAlignment="1" applyProtection="1">
      <alignment vertical="center"/>
      <protection locked="0"/>
    </xf>
    <xf numFmtId="166" fontId="91" fillId="3" borderId="0" xfId="9" applyNumberFormat="1" applyFont="1" applyFill="1" applyBorder="1" applyAlignment="1" applyProtection="1">
      <alignment vertical="center"/>
      <protection locked="0"/>
    </xf>
    <xf numFmtId="0" fontId="95" fillId="0" borderId="0" xfId="4" applyFont="1"/>
    <xf numFmtId="0" fontId="95" fillId="0" borderId="0" xfId="4" applyFont="1" applyBorder="1"/>
    <xf numFmtId="0" fontId="93" fillId="0" borderId="0" xfId="4" applyFont="1" applyBorder="1"/>
    <xf numFmtId="0" fontId="93" fillId="0" borderId="19" xfId="4" applyFont="1" applyBorder="1"/>
    <xf numFmtId="0" fontId="93" fillId="0" borderId="22" xfId="4" applyFont="1" applyBorder="1"/>
    <xf numFmtId="0" fontId="93" fillId="0" borderId="24" xfId="4" applyFont="1" applyBorder="1"/>
    <xf numFmtId="0" fontId="12" fillId="0" borderId="22" xfId="4" applyFont="1" applyBorder="1"/>
    <xf numFmtId="0" fontId="12" fillId="0" borderId="24" xfId="4" applyFont="1" applyBorder="1"/>
    <xf numFmtId="0" fontId="93" fillId="0" borderId="35" xfId="4" applyFont="1" applyBorder="1"/>
    <xf numFmtId="0" fontId="2" fillId="24" borderId="16" xfId="0" applyFont="1" applyFill="1" applyBorder="1" applyAlignment="1">
      <alignment horizontal="center"/>
    </xf>
    <xf numFmtId="1" fontId="94" fillId="0" borderId="2" xfId="10" applyNumberFormat="1" applyFont="1" applyBorder="1" applyAlignment="1">
      <alignment horizontal="center" wrapText="1"/>
    </xf>
    <xf numFmtId="1" fontId="56" fillId="0" borderId="0" xfId="0" applyNumberFormat="1" applyFont="1" applyFill="1" applyAlignment="1">
      <alignment horizontal="center"/>
    </xf>
    <xf numFmtId="164" fontId="94" fillId="0" borderId="20" xfId="1" applyNumberFormat="1" applyFont="1" applyBorder="1" applyAlignment="1">
      <alignment horizontal="center" wrapText="1"/>
    </xf>
    <xf numFmtId="164" fontId="94" fillId="0" borderId="21" xfId="1" applyNumberFormat="1" applyFont="1" applyBorder="1" applyAlignment="1">
      <alignment horizontal="center" wrapText="1"/>
    </xf>
    <xf numFmtId="1" fontId="94" fillId="0" borderId="0" xfId="10" applyNumberFormat="1" applyFont="1" applyBorder="1" applyAlignment="1">
      <alignment horizontal="center" wrapText="1"/>
    </xf>
    <xf numFmtId="1" fontId="94" fillId="0" borderId="23" xfId="10" applyNumberFormat="1" applyFont="1" applyBorder="1" applyAlignment="1">
      <alignment horizontal="center" wrapText="1"/>
    </xf>
    <xf numFmtId="44" fontId="94" fillId="0" borderId="0" xfId="2" applyFont="1" applyBorder="1" applyAlignment="1">
      <alignment horizontal="center" wrapText="1"/>
    </xf>
    <xf numFmtId="44" fontId="94" fillId="0" borderId="23" xfId="2" applyFont="1" applyBorder="1" applyAlignment="1">
      <alignment horizontal="center" wrapText="1"/>
    </xf>
    <xf numFmtId="10" fontId="94" fillId="0" borderId="0" xfId="10" applyNumberFormat="1" applyFont="1" applyBorder="1" applyAlignment="1">
      <alignment horizontal="center" wrapText="1"/>
    </xf>
    <xf numFmtId="10" fontId="94" fillId="0" borderId="0" xfId="10" applyNumberFormat="1" applyFont="1" applyBorder="1" applyAlignment="1">
      <alignment horizontal="center" wrapText="1"/>
    </xf>
    <xf numFmtId="44" fontId="80" fillId="0" borderId="0" xfId="0" applyNumberFormat="1" applyFont="1" applyBorder="1"/>
    <xf numFmtId="0" fontId="25" fillId="0" borderId="18" xfId="0" applyFont="1" applyBorder="1" applyAlignment="1" applyProtection="1">
      <alignment horizontal="center"/>
      <protection locked="0"/>
    </xf>
    <xf numFmtId="44" fontId="2" fillId="24" borderId="16" xfId="0" applyNumberFormat="1" applyFont="1" applyFill="1" applyBorder="1"/>
    <xf numFmtId="9" fontId="79" fillId="0" borderId="16" xfId="10" applyFont="1" applyFill="1" applyBorder="1" applyAlignment="1" applyProtection="1">
      <alignment horizontal="center" vertical="center"/>
      <protection locked="0"/>
    </xf>
    <xf numFmtId="2" fontId="83" fillId="0" borderId="26" xfId="10" applyNumberFormat="1" applyFont="1" applyBorder="1" applyAlignment="1">
      <alignment horizontal="center" vertical="center" wrapText="1"/>
    </xf>
    <xf numFmtId="1" fontId="82" fillId="0" borderId="26" xfId="10" applyNumberFormat="1" applyFont="1" applyBorder="1" applyAlignment="1">
      <alignment horizontal="center" vertical="center" wrapText="1"/>
    </xf>
    <xf numFmtId="1" fontId="83" fillId="0" borderId="26" xfId="10" applyNumberFormat="1" applyFont="1" applyBorder="1" applyAlignment="1">
      <alignment horizontal="center" vertical="center" wrapText="1"/>
    </xf>
    <xf numFmtId="0" fontId="83" fillId="0" borderId="26" xfId="1" applyNumberFormat="1" applyFont="1" applyBorder="1" applyAlignment="1">
      <alignment horizontal="center" vertical="center" wrapText="1"/>
    </xf>
    <xf numFmtId="10" fontId="94" fillId="0" borderId="0" xfId="10" applyNumberFormat="1" applyFont="1" applyAlignment="1">
      <alignment horizontal="center" wrapText="1"/>
    </xf>
    <xf numFmtId="10" fontId="94" fillId="0" borderId="2" xfId="10" applyNumberFormat="1" applyFont="1" applyBorder="1" applyAlignment="1">
      <alignment horizontal="center" wrapText="1"/>
    </xf>
    <xf numFmtId="0" fontId="98" fillId="0" borderId="19" xfId="4" applyFont="1" applyBorder="1"/>
    <xf numFmtId="0" fontId="98" fillId="0" borderId="22" xfId="4" applyFont="1" applyBorder="1"/>
    <xf numFmtId="0" fontId="0" fillId="2" borderId="0" xfId="0" applyFill="1" applyAlignment="1">
      <alignment horizontal="center"/>
    </xf>
    <xf numFmtId="0" fontId="11" fillId="0" borderId="0" xfId="4" applyAlignment="1">
      <alignment horizontal="center"/>
    </xf>
    <xf numFmtId="0" fontId="13" fillId="0" borderId="0" xfId="4" applyFont="1" applyAlignment="1">
      <alignment horizontal="center"/>
    </xf>
    <xf numFmtId="0" fontId="97" fillId="0" borderId="0" xfId="4" applyFont="1" applyAlignment="1">
      <alignment horizontal="center" wrapText="1"/>
    </xf>
    <xf numFmtId="0" fontId="92" fillId="0" borderId="0" xfId="4" applyFont="1" applyAlignment="1">
      <alignment horizontal="center" wrapText="1"/>
    </xf>
    <xf numFmtId="0" fontId="94" fillId="0" borderId="20" xfId="4" applyFont="1" applyBorder="1" applyAlignment="1">
      <alignment horizontal="center" wrapText="1"/>
    </xf>
    <xf numFmtId="0" fontId="12" fillId="0" borderId="0" xfId="4" applyFont="1" applyAlignment="1">
      <alignment horizontal="center"/>
    </xf>
    <xf numFmtId="10" fontId="96" fillId="0" borderId="0" xfId="10" applyNumberFormat="1" applyFont="1" applyBorder="1" applyAlignment="1">
      <alignment horizontal="center" wrapText="1"/>
    </xf>
    <xf numFmtId="0" fontId="13" fillId="0" borderId="0" xfId="4" applyFont="1" applyAlignment="1">
      <alignment horizontal="center" wrapText="1"/>
    </xf>
    <xf numFmtId="1" fontId="94" fillId="0" borderId="20" xfId="10" applyNumberFormat="1" applyFont="1" applyBorder="1" applyAlignment="1">
      <alignment horizontal="center" wrapText="1"/>
    </xf>
    <xf numFmtId="10" fontId="94" fillId="0" borderId="0" xfId="2" applyNumberFormat="1" applyFont="1" applyBorder="1" applyAlignment="1">
      <alignment horizontal="center" wrapText="1"/>
    </xf>
    <xf numFmtId="168" fontId="94" fillId="0" borderId="2" xfId="10" applyNumberFormat="1" applyFont="1" applyBorder="1" applyAlignment="1">
      <alignment horizontal="center" wrapText="1"/>
    </xf>
    <xf numFmtId="0" fontId="0" fillId="0" borderId="0" xfId="0" applyAlignment="1">
      <alignment horizontal="center" wrapText="1"/>
    </xf>
    <xf numFmtId="0" fontId="17" fillId="3" borderId="0" xfId="4" applyFont="1" applyFill="1" applyAlignment="1">
      <alignment horizontal="center"/>
    </xf>
    <xf numFmtId="0" fontId="11" fillId="3" borderId="0" xfId="4" applyFill="1" applyAlignment="1">
      <alignment horizontal="center"/>
    </xf>
    <xf numFmtId="0" fontId="12" fillId="0" borderId="0" xfId="4" applyFont="1" applyAlignment="1">
      <alignment horizontal="center" wrapText="1"/>
    </xf>
    <xf numFmtId="0" fontId="94" fillId="0" borderId="21" xfId="4" applyFont="1" applyBorder="1" applyAlignment="1">
      <alignment horizontal="center" wrapText="1"/>
    </xf>
    <xf numFmtId="10" fontId="94" fillId="0" borderId="23" xfId="10" applyNumberFormat="1" applyFont="1" applyBorder="1" applyAlignment="1">
      <alignment horizontal="center" wrapText="1"/>
    </xf>
    <xf numFmtId="10" fontId="94" fillId="0" borderId="25" xfId="10" applyNumberFormat="1" applyFont="1" applyBorder="1" applyAlignment="1">
      <alignment horizontal="center" wrapText="1"/>
    </xf>
    <xf numFmtId="10" fontId="96" fillId="0" borderId="23" xfId="10" applyNumberFormat="1" applyFont="1" applyBorder="1" applyAlignment="1">
      <alignment horizontal="center" wrapText="1"/>
    </xf>
    <xf numFmtId="1" fontId="94" fillId="0" borderId="25" xfId="10" applyNumberFormat="1" applyFont="1" applyBorder="1" applyAlignment="1">
      <alignment horizontal="center" wrapText="1"/>
    </xf>
    <xf numFmtId="1" fontId="94" fillId="0" borderId="21" xfId="10" applyNumberFormat="1" applyFont="1" applyBorder="1" applyAlignment="1">
      <alignment horizontal="center" wrapText="1"/>
    </xf>
    <xf numFmtId="10" fontId="94" fillId="0" borderId="23" xfId="2" applyNumberFormat="1" applyFont="1" applyBorder="1" applyAlignment="1">
      <alignment horizontal="center" wrapText="1"/>
    </xf>
    <xf numFmtId="168" fontId="94" fillId="0" borderId="25" xfId="10" applyNumberFormat="1" applyFont="1" applyBorder="1" applyAlignment="1">
      <alignment horizontal="center" wrapText="1"/>
    </xf>
    <xf numFmtId="1" fontId="0" fillId="9" borderId="0" xfId="2" applyNumberFormat="1" applyFont="1" applyFill="1" applyBorder="1"/>
    <xf numFmtId="14" fontId="26" fillId="4" borderId="0" xfId="10" applyNumberFormat="1" applyFont="1" applyFill="1" applyBorder="1" applyAlignment="1" applyProtection="1">
      <alignment horizontal="right" vertical="center"/>
      <protection locked="0"/>
    </xf>
    <xf numFmtId="14" fontId="26" fillId="4" borderId="0" xfId="9" applyNumberFormat="1" applyFont="1" applyFill="1" applyBorder="1" applyAlignment="1" applyProtection="1">
      <alignment vertical="center"/>
      <protection locked="0"/>
    </xf>
    <xf numFmtId="14" fontId="0" fillId="0" borderId="0" xfId="0" applyNumberFormat="1"/>
    <xf numFmtId="168" fontId="26" fillId="4" borderId="0" xfId="10" applyNumberFormat="1" applyFont="1" applyFill="1" applyBorder="1" applyAlignment="1" applyProtection="1">
      <alignment vertical="center"/>
      <protection locked="0"/>
    </xf>
    <xf numFmtId="9" fontId="26" fillId="4" borderId="0" xfId="10" applyNumberFormat="1" applyFont="1" applyFill="1" applyBorder="1" applyAlignment="1" applyProtection="1">
      <alignment vertical="center"/>
      <protection locked="0"/>
    </xf>
    <xf numFmtId="3" fontId="82" fillId="0" borderId="26" xfId="0" applyNumberFormat="1" applyFont="1" applyBorder="1" applyAlignment="1">
      <alignment horizontal="center" vertical="center" wrapText="1"/>
    </xf>
    <xf numFmtId="3" fontId="83" fillId="0" borderId="26" xfId="0" applyNumberFormat="1" applyFont="1" applyBorder="1" applyAlignment="1">
      <alignment horizontal="center" vertical="center" wrapText="1"/>
    </xf>
    <xf numFmtId="44" fontId="46" fillId="0" borderId="16" xfId="0" applyNumberFormat="1" applyFont="1" applyBorder="1"/>
    <xf numFmtId="0" fontId="2" fillId="24" borderId="18" xfId="0" applyFont="1" applyFill="1" applyBorder="1" applyAlignment="1">
      <alignment horizontal="center" wrapText="1"/>
    </xf>
    <xf numFmtId="4" fontId="83" fillId="0" borderId="26" xfId="0" applyNumberFormat="1" applyFont="1" applyBorder="1" applyAlignment="1">
      <alignment horizontal="center" vertical="center" wrapText="1"/>
    </xf>
    <xf numFmtId="0" fontId="2" fillId="24" borderId="0" xfId="0" applyFont="1" applyFill="1" applyBorder="1" applyAlignment="1">
      <alignment horizontal="center" wrapText="1"/>
    </xf>
    <xf numFmtId="4" fontId="83" fillId="0" borderId="0" xfId="0" applyNumberFormat="1" applyFont="1" applyBorder="1" applyAlignment="1">
      <alignment horizontal="center" vertical="center" wrapText="1"/>
    </xf>
    <xf numFmtId="44" fontId="25" fillId="0" borderId="1" xfId="2" applyFont="1" applyBorder="1" applyProtection="1">
      <protection locked="0"/>
    </xf>
    <xf numFmtId="0" fontId="2" fillId="24" borderId="32" xfId="0" applyFont="1" applyFill="1" applyBorder="1" applyAlignment="1">
      <alignment horizontal="center" wrapText="1"/>
    </xf>
    <xf numFmtId="1" fontId="99" fillId="0" borderId="1" xfId="2" applyNumberFormat="1" applyFont="1" applyBorder="1" applyAlignment="1" applyProtection="1">
      <alignment horizontal="center"/>
      <protection locked="0"/>
    </xf>
    <xf numFmtId="1" fontId="25" fillId="0" borderId="1" xfId="2" applyNumberFormat="1" applyFont="1" applyBorder="1" applyProtection="1">
      <protection locked="0"/>
    </xf>
    <xf numFmtId="9" fontId="82" fillId="0" borderId="26" xfId="10" applyFont="1" applyBorder="1" applyAlignment="1">
      <alignment horizontal="center" vertical="center" wrapText="1"/>
    </xf>
    <xf numFmtId="1" fontId="96" fillId="0" borderId="0" xfId="10" applyNumberFormat="1" applyFont="1" applyBorder="1" applyAlignment="1">
      <alignment horizontal="center" wrapText="1"/>
    </xf>
    <xf numFmtId="1" fontId="96" fillId="0" borderId="23" xfId="10" applyNumberFormat="1" applyFont="1" applyBorder="1" applyAlignment="1">
      <alignment horizontal="center" wrapText="1"/>
    </xf>
    <xf numFmtId="0" fontId="100" fillId="0" borderId="22" xfId="4" applyFont="1" applyBorder="1"/>
    <xf numFmtId="0" fontId="41" fillId="0" borderId="0" xfId="4" applyFont="1" applyFill="1"/>
    <xf numFmtId="0" fontId="21" fillId="0" borderId="0" xfId="4" applyFont="1" applyFill="1"/>
    <xf numFmtId="0" fontId="0" fillId="0" borderId="0" xfId="0" applyBorder="1" applyAlignment="1">
      <alignment wrapText="1"/>
    </xf>
    <xf numFmtId="0" fontId="0" fillId="0" borderId="0" xfId="0" applyBorder="1" applyAlignment="1"/>
    <xf numFmtId="0" fontId="0" fillId="0" borderId="2" xfId="0" applyBorder="1" applyAlignment="1">
      <alignment wrapText="1"/>
    </xf>
    <xf numFmtId="0" fontId="3" fillId="0" borderId="23" xfId="3" applyBorder="1" applyAlignment="1">
      <alignment wrapText="1"/>
    </xf>
    <xf numFmtId="0" fontId="3" fillId="0" borderId="25" xfId="3" applyBorder="1" applyAlignment="1">
      <alignment wrapText="1"/>
    </xf>
    <xf numFmtId="0" fontId="68" fillId="0" borderId="19" xfId="0" applyFont="1" applyBorder="1"/>
    <xf numFmtId="0" fontId="68" fillId="0" borderId="21" xfId="0" applyFont="1" applyBorder="1"/>
    <xf numFmtId="0" fontId="30" fillId="0" borderId="19" xfId="15" applyFont="1" applyBorder="1" applyAlignment="1">
      <alignment horizontal="center"/>
    </xf>
    <xf numFmtId="0" fontId="30" fillId="0" borderId="20" xfId="15" applyFont="1" applyBorder="1" applyAlignment="1">
      <alignment horizontal="center"/>
    </xf>
    <xf numFmtId="0" fontId="30" fillId="0" borderId="20" xfId="15" applyFont="1" applyFill="1" applyBorder="1" applyAlignment="1">
      <alignment horizontal="center"/>
    </xf>
    <xf numFmtId="0" fontId="30" fillId="0" borderId="21" xfId="15" applyFont="1" applyFill="1" applyBorder="1" applyAlignment="1">
      <alignment horizontal="center"/>
    </xf>
    <xf numFmtId="0" fontId="30" fillId="0" borderId="22" xfId="15" applyFont="1" applyBorder="1" applyAlignment="1">
      <alignment horizontal="center"/>
    </xf>
    <xf numFmtId="179" fontId="102" fillId="0" borderId="0" xfId="15" applyNumberFormat="1" applyFont="1" applyBorder="1" applyAlignment="1">
      <alignment horizontal="center"/>
    </xf>
    <xf numFmtId="179" fontId="30" fillId="0" borderId="0" xfId="15" applyNumberFormat="1" applyFont="1" applyBorder="1" applyAlignment="1">
      <alignment horizontal="center"/>
    </xf>
    <xf numFmtId="179" fontId="30" fillId="0" borderId="23" xfId="15" applyNumberFormat="1" applyFont="1" applyBorder="1" applyAlignment="1">
      <alignment horizontal="center"/>
    </xf>
    <xf numFmtId="179" fontId="102" fillId="0" borderId="2" xfId="15" applyNumberFormat="1" applyFont="1" applyBorder="1" applyAlignment="1">
      <alignment horizontal="center"/>
    </xf>
    <xf numFmtId="179" fontId="30" fillId="0" borderId="2" xfId="15" applyNumberFormat="1" applyFont="1" applyBorder="1" applyAlignment="1">
      <alignment horizontal="center"/>
    </xf>
    <xf numFmtId="179" fontId="30" fillId="0" borderId="25" xfId="15" applyNumberFormat="1" applyFont="1" applyBorder="1" applyAlignment="1">
      <alignment horizontal="center"/>
    </xf>
    <xf numFmtId="0" fontId="46" fillId="0" borderId="0" xfId="0" quotePrefix="1" applyFont="1"/>
    <xf numFmtId="0" fontId="0" fillId="0" borderId="0" xfId="0" applyFill="1" applyBorder="1" applyAlignment="1">
      <alignment wrapText="1"/>
    </xf>
    <xf numFmtId="0" fontId="30" fillId="0" borderId="24" xfId="15" applyFont="1" applyBorder="1" applyAlignment="1">
      <alignment horizontal="center"/>
    </xf>
    <xf numFmtId="168" fontId="30" fillId="0" borderId="0" xfId="10" applyNumberFormat="1" applyFont="1" applyBorder="1" applyAlignment="1">
      <alignment horizontal="center"/>
    </xf>
    <xf numFmtId="168" fontId="30" fillId="0" borderId="23" xfId="10" applyNumberFormat="1" applyFont="1" applyBorder="1" applyAlignment="1">
      <alignment horizontal="center"/>
    </xf>
    <xf numFmtId="168" fontId="30" fillId="0" borderId="2" xfId="10" applyNumberFormat="1" applyFont="1" applyBorder="1" applyAlignment="1">
      <alignment horizontal="center"/>
    </xf>
    <xf numFmtId="168" fontId="30" fillId="0" borderId="25" xfId="10" applyNumberFormat="1" applyFont="1" applyBorder="1" applyAlignment="1">
      <alignment horizontal="center"/>
    </xf>
    <xf numFmtId="0" fontId="95" fillId="0" borderId="0" xfId="4" applyFont="1" applyFill="1" applyBorder="1"/>
    <xf numFmtId="10" fontId="94" fillId="0" borderId="0" xfId="10" applyNumberFormat="1" applyFont="1" applyFill="1" applyAlignment="1">
      <alignment horizontal="center" wrapText="1"/>
    </xf>
    <xf numFmtId="0" fontId="12" fillId="0" borderId="0" xfId="4" applyFont="1" applyFill="1"/>
    <xf numFmtId="168" fontId="46" fillId="0" borderId="0" xfId="10" quotePrefix="1" applyNumberFormat="1" applyFont="1"/>
    <xf numFmtId="2" fontId="46" fillId="0" borderId="0" xfId="10" quotePrefix="1" applyNumberFormat="1" applyFont="1"/>
    <xf numFmtId="168" fontId="90" fillId="6" borderId="1" xfId="10" applyNumberFormat="1" applyFont="1" applyFill="1" applyBorder="1"/>
    <xf numFmtId="177" fontId="90" fillId="6" borderId="1" xfId="13" applyFont="1" applyFill="1" applyBorder="1" applyAlignment="1" applyProtection="1">
      <alignment horizontal="left"/>
    </xf>
    <xf numFmtId="0" fontId="49" fillId="0" borderId="0" xfId="0" applyFont="1" applyAlignment="1">
      <alignment horizontal="left" wrapText="1"/>
    </xf>
    <xf numFmtId="0" fontId="44" fillId="2" borderId="0" xfId="0" applyFont="1" applyFill="1" applyAlignment="1">
      <alignment horizontal="center"/>
    </xf>
    <xf numFmtId="0" fontId="44" fillId="2" borderId="0" xfId="0" applyFont="1" applyFill="1" applyAlignment="1">
      <alignment horizontal="left"/>
    </xf>
    <xf numFmtId="10" fontId="96" fillId="0" borderId="2" xfId="10" applyNumberFormat="1" applyFont="1" applyBorder="1" applyAlignment="1">
      <alignment horizontal="center" wrapText="1"/>
    </xf>
    <xf numFmtId="10" fontId="96" fillId="0" borderId="25" xfId="10" applyNumberFormat="1" applyFont="1" applyBorder="1" applyAlignment="1">
      <alignment horizontal="center" wrapText="1"/>
    </xf>
    <xf numFmtId="10" fontId="94" fillId="0" borderId="20" xfId="10" applyNumberFormat="1" applyFont="1" applyBorder="1" applyAlignment="1">
      <alignment horizontal="center" wrapText="1"/>
    </xf>
    <xf numFmtId="10" fontId="94" fillId="0" borderId="21" xfId="10" applyNumberFormat="1" applyFont="1" applyBorder="1" applyAlignment="1">
      <alignment horizontal="center" wrapText="1"/>
    </xf>
    <xf numFmtId="164" fontId="94" fillId="0" borderId="20" xfId="1" applyNumberFormat="1" applyFont="1" applyBorder="1" applyAlignment="1">
      <alignment horizontal="center" wrapText="1"/>
    </xf>
    <xf numFmtId="164" fontId="94" fillId="0" borderId="21" xfId="1" applyNumberFormat="1" applyFont="1" applyBorder="1" applyAlignment="1">
      <alignment horizontal="center" wrapText="1"/>
    </xf>
    <xf numFmtId="10" fontId="94" fillId="0" borderId="0" xfId="10" applyNumberFormat="1" applyFont="1" applyBorder="1" applyAlignment="1">
      <alignment horizontal="center" wrapText="1"/>
    </xf>
    <xf numFmtId="10" fontId="94" fillId="0" borderId="23" xfId="10" applyNumberFormat="1" applyFont="1" applyBorder="1" applyAlignment="1">
      <alignment horizontal="center" wrapText="1"/>
    </xf>
    <xf numFmtId="10" fontId="3" fillId="0" borderId="0" xfId="3" applyNumberFormat="1" applyBorder="1" applyAlignment="1">
      <alignment horizontal="left" wrapText="1"/>
    </xf>
    <xf numFmtId="10" fontId="94" fillId="0" borderId="0" xfId="10" applyNumberFormat="1" applyFont="1" applyBorder="1" applyAlignment="1">
      <alignment horizontal="left" wrapText="1"/>
    </xf>
    <xf numFmtId="10" fontId="94" fillId="0" borderId="23" xfId="10" applyNumberFormat="1" applyFont="1" applyBorder="1" applyAlignment="1">
      <alignment horizontal="left" wrapText="1"/>
    </xf>
    <xf numFmtId="164" fontId="94" fillId="0" borderId="36" xfId="1" applyNumberFormat="1" applyFont="1" applyBorder="1" applyAlignment="1">
      <alignment horizontal="center" wrapText="1"/>
    </xf>
    <xf numFmtId="164" fontId="94" fillId="0" borderId="37" xfId="1" applyNumberFormat="1" applyFont="1" applyBorder="1" applyAlignment="1">
      <alignment horizontal="center" wrapText="1"/>
    </xf>
    <xf numFmtId="0" fontId="80" fillId="0" borderId="22" xfId="0" applyFont="1" applyBorder="1" applyAlignment="1">
      <alignment horizontal="center" vertical="center" wrapText="1"/>
    </xf>
    <xf numFmtId="0" fontId="80" fillId="0" borderId="0" xfId="0" applyFont="1" applyAlignment="1">
      <alignment horizontal="center" vertical="center" wrapText="1"/>
    </xf>
    <xf numFmtId="0" fontId="80" fillId="0" borderId="23" xfId="0" applyFont="1" applyBorder="1" applyAlignment="1">
      <alignment horizontal="center" vertical="center" wrapText="1"/>
    </xf>
    <xf numFmtId="0" fontId="80" fillId="0" borderId="24" xfId="0" applyFont="1" applyBorder="1" applyAlignment="1">
      <alignment horizontal="center" vertical="center" wrapText="1"/>
    </xf>
    <xf numFmtId="0" fontId="80" fillId="0" borderId="2" xfId="0" applyFont="1" applyBorder="1" applyAlignment="1">
      <alignment horizontal="center" vertical="center" wrapText="1"/>
    </xf>
    <xf numFmtId="0" fontId="80" fillId="0" borderId="25" xfId="0" applyFont="1" applyBorder="1" applyAlignment="1">
      <alignment horizontal="center" vertical="center" wrapText="1"/>
    </xf>
    <xf numFmtId="0" fontId="77" fillId="8" borderId="39" xfId="0" applyFont="1" applyFill="1" applyBorder="1" applyAlignment="1">
      <alignment horizontal="center"/>
    </xf>
    <xf numFmtId="0" fontId="77" fillId="8" borderId="40" xfId="0" applyFont="1" applyFill="1" applyBorder="1" applyAlignment="1">
      <alignment horizontal="center"/>
    </xf>
    <xf numFmtId="0" fontId="77" fillId="8" borderId="41" xfId="0" applyFont="1" applyFill="1" applyBorder="1" applyAlignment="1">
      <alignment horizontal="center"/>
    </xf>
    <xf numFmtId="0" fontId="77" fillId="8" borderId="30" xfId="0" applyFont="1" applyFill="1" applyBorder="1" applyAlignment="1">
      <alignment horizontal="center"/>
    </xf>
    <xf numFmtId="0" fontId="77" fillId="8" borderId="17" xfId="0" applyFont="1" applyFill="1" applyBorder="1" applyAlignment="1">
      <alignment horizontal="center"/>
    </xf>
    <xf numFmtId="0" fontId="77" fillId="8" borderId="27" xfId="0" applyFont="1" applyFill="1" applyBorder="1" applyAlignment="1">
      <alignment horizontal="center"/>
    </xf>
    <xf numFmtId="0" fontId="77" fillId="8" borderId="28" xfId="0" applyFont="1" applyFill="1" applyBorder="1" applyAlignment="1">
      <alignment horizontal="center"/>
    </xf>
    <xf numFmtId="0" fontId="77" fillId="8" borderId="38" xfId="0" applyFont="1" applyFill="1" applyBorder="1" applyAlignment="1">
      <alignment horizontal="center"/>
    </xf>
    <xf numFmtId="0" fontId="77" fillId="8" borderId="29" xfId="0" applyFont="1" applyFill="1" applyBorder="1" applyAlignment="1">
      <alignment horizontal="center"/>
    </xf>
    <xf numFmtId="0" fontId="77" fillId="8" borderId="16" xfId="0" applyFont="1" applyFill="1" applyBorder="1" applyAlignment="1">
      <alignment horizontal="center"/>
    </xf>
    <xf numFmtId="0" fontId="77" fillId="8" borderId="18" xfId="0" applyFont="1" applyFill="1" applyBorder="1" applyAlignment="1">
      <alignment horizontal="center"/>
    </xf>
    <xf numFmtId="175" fontId="77" fillId="8" borderId="17" xfId="0" applyNumberFormat="1" applyFont="1" applyFill="1" applyBorder="1" applyAlignment="1">
      <alignment horizontal="center"/>
    </xf>
    <xf numFmtId="175" fontId="77" fillId="8" borderId="31" xfId="0" applyNumberFormat="1" applyFont="1" applyFill="1" applyBorder="1" applyAlignment="1">
      <alignment horizontal="center"/>
    </xf>
    <xf numFmtId="0" fontId="0" fillId="0" borderId="16" xfId="0" applyFont="1" applyBorder="1" applyAlignment="1">
      <alignment horizontal="center"/>
    </xf>
    <xf numFmtId="0" fontId="0" fillId="0" borderId="18" xfId="0" applyFont="1" applyBorder="1" applyAlignment="1">
      <alignment horizontal="center"/>
    </xf>
    <xf numFmtId="37" fontId="79" fillId="0" borderId="16" xfId="2" applyNumberFormat="1" applyFont="1" applyFill="1" applyBorder="1" applyAlignment="1" applyProtection="1">
      <alignment horizontal="center" vertical="center"/>
      <protection locked="0"/>
    </xf>
    <xf numFmtId="37" fontId="79" fillId="0" borderId="18" xfId="2" applyNumberFormat="1" applyFont="1" applyFill="1" applyBorder="1" applyAlignment="1" applyProtection="1">
      <alignment horizontal="center" vertical="center"/>
      <protection locked="0"/>
    </xf>
    <xf numFmtId="0" fontId="2" fillId="24" borderId="16" xfId="0" applyFont="1" applyFill="1" applyBorder="1" applyAlignment="1">
      <alignment horizontal="center"/>
    </xf>
    <xf numFmtId="0" fontId="2" fillId="24" borderId="18" xfId="0" applyFont="1" applyFill="1" applyBorder="1" applyAlignment="1">
      <alignment horizontal="center"/>
    </xf>
    <xf numFmtId="44" fontId="81" fillId="0" borderId="0" xfId="0" applyNumberFormat="1" applyFont="1" applyBorder="1" applyAlignment="1">
      <alignment horizontal="center" wrapText="1"/>
    </xf>
    <xf numFmtId="44" fontId="2" fillId="24" borderId="16" xfId="0" applyNumberFormat="1" applyFont="1" applyFill="1" applyBorder="1" applyAlignment="1">
      <alignment horizontal="center"/>
    </xf>
    <xf numFmtId="44" fontId="2" fillId="24" borderId="17" xfId="0" applyNumberFormat="1" applyFont="1" applyFill="1" applyBorder="1" applyAlignment="1">
      <alignment horizontal="center"/>
    </xf>
    <xf numFmtId="44" fontId="2" fillId="24" borderId="18" xfId="0" applyNumberFormat="1" applyFont="1" applyFill="1" applyBorder="1" applyAlignment="1">
      <alignment horizontal="center"/>
    </xf>
    <xf numFmtId="176" fontId="79" fillId="0" borderId="16" xfId="2" applyNumberFormat="1" applyFont="1" applyFill="1" applyBorder="1" applyAlignment="1" applyProtection="1">
      <alignment horizontal="center" vertical="center"/>
      <protection locked="0"/>
    </xf>
    <xf numFmtId="176" fontId="79" fillId="0" borderId="17" xfId="2" applyNumberFormat="1" applyFont="1" applyFill="1" applyBorder="1" applyAlignment="1" applyProtection="1">
      <alignment horizontal="center" vertical="center"/>
      <protection locked="0"/>
    </xf>
    <xf numFmtId="176" fontId="79" fillId="0" borderId="18" xfId="2" applyNumberFormat="1" applyFont="1" applyFill="1" applyBorder="1" applyAlignment="1" applyProtection="1">
      <alignment horizontal="center" vertical="center"/>
      <protection locked="0"/>
    </xf>
    <xf numFmtId="0" fontId="32" fillId="0" borderId="0" xfId="0" applyFont="1" applyAlignment="1">
      <alignment horizontal="center" vertical="top"/>
    </xf>
    <xf numFmtId="1" fontId="51" fillId="0" borderId="0" xfId="0" applyNumberFormat="1" applyFont="1" applyAlignment="1">
      <alignment horizontal="center" vertical="top" shrinkToFit="1"/>
    </xf>
    <xf numFmtId="0" fontId="52" fillId="0" borderId="0" xfId="0" applyFont="1" applyAlignment="1">
      <alignment horizontal="left" vertical="top" wrapText="1" indent="2"/>
    </xf>
    <xf numFmtId="2" fontId="51" fillId="0" borderId="0" xfId="0" applyNumberFormat="1" applyFont="1" applyAlignment="1">
      <alignment horizontal="right" vertical="top" indent="1" shrinkToFit="1"/>
    </xf>
    <xf numFmtId="2" fontId="51" fillId="0" borderId="0" xfId="0" applyNumberFormat="1" applyFont="1" applyAlignment="1">
      <alignment horizontal="right" vertical="top" indent="2" shrinkToFit="1"/>
    </xf>
    <xf numFmtId="2" fontId="51" fillId="0" borderId="0" xfId="0" applyNumberFormat="1" applyFont="1" applyAlignment="1">
      <alignment horizontal="right" vertical="top" shrinkToFit="1"/>
    </xf>
    <xf numFmtId="0" fontId="32" fillId="0" borderId="0" xfId="0" applyFont="1" applyAlignment="1">
      <alignment horizontal="center" vertical="top" wrapText="1"/>
    </xf>
    <xf numFmtId="0" fontId="0" fillId="0" borderId="0" xfId="0" applyAlignment="1">
      <alignment horizontal="left" wrapText="1"/>
    </xf>
    <xf numFmtId="0" fontId="53" fillId="0" borderId="0" xfId="0" applyFont="1" applyAlignment="1">
      <alignment horizontal="center" wrapText="1"/>
    </xf>
    <xf numFmtId="1" fontId="51" fillId="0" borderId="0" xfId="0" quotePrefix="1" applyNumberFormat="1" applyFont="1" applyAlignment="1">
      <alignment horizontal="center" vertical="top" shrinkToFit="1"/>
    </xf>
    <xf numFmtId="4" fontId="51" fillId="0" borderId="0" xfId="0" applyNumberFormat="1" applyFont="1" applyAlignment="1">
      <alignment horizontal="right" vertical="top" shrinkToFit="1"/>
    </xf>
    <xf numFmtId="2" fontId="33" fillId="0" borderId="0" xfId="0" applyNumberFormat="1" applyFont="1" applyAlignment="1">
      <alignment horizontal="right" vertical="top" indent="2" shrinkToFit="1"/>
    </xf>
    <xf numFmtId="2" fontId="33" fillId="0" borderId="0" xfId="0" applyNumberFormat="1" applyFont="1" applyAlignment="1">
      <alignment horizontal="right" vertical="top" indent="1" shrinkToFit="1"/>
    </xf>
    <xf numFmtId="4" fontId="33" fillId="0" borderId="0" xfId="0" applyNumberFormat="1" applyFont="1" applyAlignment="1">
      <alignment horizontal="right" vertical="top" shrinkToFit="1"/>
    </xf>
    <xf numFmtId="2" fontId="33" fillId="0" borderId="0" xfId="0" applyNumberFormat="1" applyFont="1" applyAlignment="1">
      <alignment horizontal="right" vertical="top" shrinkToFit="1"/>
    </xf>
    <xf numFmtId="0" fontId="53" fillId="0" borderId="0" xfId="0" quotePrefix="1" applyFont="1" applyAlignment="1">
      <alignment horizontal="center" vertical="top" wrapText="1"/>
    </xf>
    <xf numFmtId="0" fontId="53" fillId="0" borderId="0" xfId="0" applyFont="1" applyAlignment="1">
      <alignment horizontal="center" vertical="top" wrapText="1"/>
    </xf>
    <xf numFmtId="1" fontId="53" fillId="0" borderId="0" xfId="0" applyNumberFormat="1" applyFont="1" applyAlignment="1">
      <alignment horizontal="center" wrapText="1"/>
    </xf>
    <xf numFmtId="44" fontId="51" fillId="0" borderId="0" xfId="2" applyFont="1" applyFill="1" applyBorder="1" applyAlignment="1">
      <alignment horizontal="right" vertical="top" shrinkToFit="1"/>
    </xf>
    <xf numFmtId="0" fontId="34" fillId="0" borderId="0" xfId="0" applyFont="1" applyAlignment="1">
      <alignment horizontal="right" vertical="top" wrapText="1"/>
    </xf>
    <xf numFmtId="0" fontId="34" fillId="0" borderId="0" xfId="0" applyFont="1" applyAlignment="1">
      <alignment horizontal="center" vertical="top" wrapText="1"/>
    </xf>
    <xf numFmtId="0" fontId="0" fillId="0" borderId="7" xfId="0" applyBorder="1" applyAlignment="1">
      <alignment horizontal="center"/>
    </xf>
    <xf numFmtId="0" fontId="0" fillId="0" borderId="9" xfId="0" applyBorder="1" applyAlignment="1">
      <alignment horizontal="center" vertical="center" textRotation="90" wrapText="1"/>
    </xf>
  </cellXfs>
  <cellStyles count="16">
    <cellStyle name="Accounting Format in Thousands" xfId="13" xr:uid="{42198C85-8FB5-434E-AB92-02F5468098CB}"/>
    <cellStyle name="Bad" xfId="12" builtinId="27"/>
    <cellStyle name="Comma" xfId="1" builtinId="3"/>
    <cellStyle name="Comma 3" xfId="9" xr:uid="{4B27C956-37D6-4976-9ABD-283F489C9CFF}"/>
    <cellStyle name="Comma 4" xfId="7" xr:uid="{BE86CCAA-1782-471F-B757-DA698B57CBBE}"/>
    <cellStyle name="Currency" xfId="2" builtinId="4"/>
    <cellStyle name="Currency 3" xfId="5" xr:uid="{6ABD7725-44CF-4937-93DD-B031A75C7F4A}"/>
    <cellStyle name="Format in thousands + red" xfId="14" xr:uid="{27A9AEBE-148C-4098-8EDD-7A9ACB04F591}"/>
    <cellStyle name="Heading 2" xfId="11" builtinId="17"/>
    <cellStyle name="Hyperlink" xfId="3" builtinId="8"/>
    <cellStyle name="Normal" xfId="0" builtinId="0"/>
    <cellStyle name="Normal 2" xfId="8" xr:uid="{A0BC23AA-0EF2-4BF0-91AC-0D557CA6B917}"/>
    <cellStyle name="Normal 2 3" xfId="15" xr:uid="{94382345-385D-4E9B-9057-5A57888A9DD8}"/>
    <cellStyle name="Normal 3" xfId="4" xr:uid="{E5352209-D629-4C2D-A2C3-D589E8AAFF2C}"/>
    <cellStyle name="Percent" xfId="10" builtinId="5"/>
    <cellStyle name="Percent 3" xfId="6" xr:uid="{DA7BE513-3C8B-4FE1-BA4D-0B72CE97EC0B}"/>
  </cellStyles>
  <dxfs count="106">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ill>
        <patternFill>
          <bgColor theme="0" tint="-0.14996795556505021"/>
        </patternFill>
      </fill>
    </dxf>
    <dxf>
      <fill>
        <patternFill>
          <bgColor rgb="FFFFC7CE"/>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rgb="FFFFC000"/>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0" tint="-0.24994659260841701"/>
        </patternFill>
      </fill>
    </dxf>
    <dxf>
      <fill>
        <patternFill>
          <bgColor theme="5" tint="0.39994506668294322"/>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5" tint="0.39994506668294322"/>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9" tint="0.59996337778862885"/>
        </patternFill>
      </fill>
    </dxf>
    <dxf>
      <fill>
        <patternFill>
          <bgColor rgb="FFFF7C80"/>
        </patternFill>
      </fill>
    </dxf>
    <dxf>
      <fill>
        <patternFill>
          <bgColor theme="0" tint="-0.14996795556505021"/>
        </patternFill>
      </fill>
    </dxf>
    <dxf>
      <fill>
        <patternFill>
          <bgColor theme="9" tint="0.59996337778862885"/>
        </patternFill>
      </fill>
    </dxf>
    <dxf>
      <fill>
        <patternFill>
          <bgColor rgb="FFFF7C80"/>
        </patternFill>
      </fill>
    </dxf>
    <dxf>
      <fill>
        <patternFill>
          <bgColor theme="0" tint="-0.14996795556505021"/>
        </patternFill>
      </fill>
    </dxf>
    <dxf>
      <fill>
        <patternFill>
          <bgColor theme="9" tint="0.59996337778862885"/>
        </patternFill>
      </fill>
    </dxf>
    <dxf>
      <fill>
        <patternFill>
          <bgColor rgb="FFFF7C8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C7CE"/>
      <color rgb="FF960006"/>
      <color rgb="FFE1BEB3"/>
      <color rgb="FFE5B7AF"/>
      <color rgb="FFFF7C80"/>
      <color rgb="FFB2B2B2"/>
      <color rgb="FFDBADED"/>
      <color rgb="FFCCCC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hyperlink" Target="https://www.primepower.com/blog/maintenance-load-bank-testing-of-standby-gensets-preventive-maintenance-practice-for-epss#:~:text=Load%20bank%20testing%20of%20standby%20gensets%20is%20a%20preventive%20maintenance,operation%20during%20utility%20power%20failure."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primepower.com/blog/maintenance-load-bank-testing-of-standby-gensets-preventive-maintenance-practice-for-epss#:~:text=Load%20bank%20testing%20of%20standby%20gensets%20is%20a%20preventive%20maintenance,operation%20during%20utility%20power%20failure."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676275</xdr:colOff>
      <xdr:row>8</xdr:row>
      <xdr:rowOff>152401</xdr:rowOff>
    </xdr:from>
    <xdr:to>
      <xdr:col>7</xdr:col>
      <xdr:colOff>428586</xdr:colOff>
      <xdr:row>22</xdr:row>
      <xdr:rowOff>133351</xdr:rowOff>
    </xdr:to>
    <xdr:pic>
      <xdr:nvPicPr>
        <xdr:cNvPr id="3" name="Picture 2">
          <a:extLst>
            <a:ext uri="{FF2B5EF4-FFF2-40B4-BE49-F238E27FC236}">
              <a16:creationId xmlns:a16="http://schemas.microsoft.com/office/drawing/2014/main" id="{296E73E0-E84E-4F32-B63F-441E560062D0}"/>
            </a:ext>
          </a:extLst>
        </xdr:cNvPr>
        <xdr:cNvPicPr>
          <a:picLocks noChangeAspect="1"/>
        </xdr:cNvPicPr>
      </xdr:nvPicPr>
      <xdr:blipFill>
        <a:blip xmlns:r="http://schemas.openxmlformats.org/officeDocument/2006/relationships" r:embed="rId1"/>
        <a:stretch>
          <a:fillRect/>
        </a:stretch>
      </xdr:blipFill>
      <xdr:spPr>
        <a:xfrm>
          <a:off x="676275" y="2981326"/>
          <a:ext cx="3933786" cy="2647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66675</xdr:colOff>
          <xdr:row>29</xdr:row>
          <xdr:rowOff>123825</xdr:rowOff>
        </xdr:from>
        <xdr:to>
          <xdr:col>9</xdr:col>
          <xdr:colOff>209550</xdr:colOff>
          <xdr:row>32</xdr:row>
          <xdr:rowOff>133350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500-00001F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Recalculate Summary Table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669925</xdr:colOff>
      <xdr:row>42</xdr:row>
      <xdr:rowOff>155575</xdr:rowOff>
    </xdr:from>
    <xdr:to>
      <xdr:col>14</xdr:col>
      <xdr:colOff>101600</xdr:colOff>
      <xdr:row>52</xdr:row>
      <xdr:rowOff>165100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651CD204-AE52-453F-A4F4-BC503FB3DD28}"/>
            </a:ext>
          </a:extLst>
        </xdr:cNvPr>
        <xdr:cNvSpPr txBox="1"/>
      </xdr:nvSpPr>
      <xdr:spPr>
        <a:xfrm>
          <a:off x="3419475" y="6708775"/>
          <a:ext cx="8766175" cy="2619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"Power system specialists recommend testing the generator systems once a year at full load with a load bank.</a:t>
          </a:r>
          <a:br>
            <a:rPr lang="en-US"/>
          </a:br>
          <a:r>
            <a:rPr lang="en-US" sz="1100" b="0" i="0">
              <a:solidFill>
                <a:schemeClr val="dk1"/>
              </a:solidFill>
              <a:effectLst/>
              <a:latin typeface="+mn-lt"/>
              <a:ea typeface="+mn-ea"/>
              <a:cs typeface="+mn-cs"/>
            </a:rPr>
            <a:t>The National Fire Protection Associations NFPA Code 110 Standard for Emergency and Standby Power Systems, 2005 Edition, specifies load bank testing for EPSS as a requirement by law where life safety electrical needs are involved. Section 8.4.2.3 of this code states the generator must be run at a supplemental load of 25% of nameplate rating for 30 minutes, followed by 50% of nameplate rating for 30 minutes, followed by 75% of nameplate rating for 60 minutes, for a total of two continuous hours."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Source:</a:t>
          </a:r>
          <a:r>
            <a:rPr lang="en-US" sz="1100" b="0" i="0" baseline="0">
              <a:solidFill>
                <a:schemeClr val="dk1"/>
              </a:solidFill>
              <a:effectLst/>
              <a:latin typeface="+mn-lt"/>
              <a:ea typeface="+mn-ea"/>
              <a:cs typeface="+mn-cs"/>
            </a:rPr>
            <a:t> https://www.primepower.com/blog/maintenance-load-bank-testing-of-standby-gensets-preventive-maintenance-practice-for-epss#:~:text=Load%20bank%20testing%20of%20standby%20gensets%20is%20a%20preventive%20maintenance,operation%20during%20utility%20power%20failure.</a:t>
          </a:r>
        </a:p>
        <a:p>
          <a:endParaRPr lang="en-US" sz="1100" u="sng">
            <a:solidFill>
              <a:schemeClr val="accent1"/>
            </a:solidFill>
          </a:endParaRPr>
        </a:p>
      </xdr:txBody>
    </xdr:sp>
    <xdr:clientData/>
  </xdr:twoCellAnchor>
  <xdr:twoCellAnchor>
    <xdr:from>
      <xdr:col>11</xdr:col>
      <xdr:colOff>6350</xdr:colOff>
      <xdr:row>3</xdr:row>
      <xdr:rowOff>82550</xdr:rowOff>
    </xdr:from>
    <xdr:to>
      <xdr:col>21</xdr:col>
      <xdr:colOff>444500</xdr:colOff>
      <xdr:row>11</xdr:row>
      <xdr:rowOff>330200</xdr:rowOff>
    </xdr:to>
    <xdr:sp macro="" textlink="">
      <xdr:nvSpPr>
        <xdr:cNvPr id="3" name="TextBox 2">
          <a:extLst>
            <a:ext uri="{FF2B5EF4-FFF2-40B4-BE49-F238E27FC236}">
              <a16:creationId xmlns:a16="http://schemas.microsoft.com/office/drawing/2014/main" id="{F8240579-519E-4CC1-95DA-51F37A0AFD91}"/>
            </a:ext>
          </a:extLst>
        </xdr:cNvPr>
        <xdr:cNvSpPr txBox="1"/>
      </xdr:nvSpPr>
      <xdr:spPr>
        <a:xfrm>
          <a:off x="9105900" y="641350"/>
          <a:ext cx="6534150" cy="193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Every 50 Hours of Operation or 6 Months (Whichever Comes First)</a:t>
          </a:r>
        </a:p>
        <a:p>
          <a:r>
            <a:rPr lang="en-US" sz="1100" b="0" i="0">
              <a:solidFill>
                <a:schemeClr val="dk1"/>
              </a:solidFill>
              <a:effectLst/>
              <a:latin typeface="+mn-lt"/>
              <a:ea typeface="+mn-ea"/>
              <a:cs typeface="+mn-cs"/>
            </a:rPr>
            <a:t>Check the tightness of the electrical connections. The expansion and contraction caused by Load Bank operation may result in loose connections. The vibrations caused by the cooling fan may also loosen electrical connections. If the Load Bank is transported “over the road”, the electrical connections should be checked for tightness at a shorter-than-normal time interval.</a:t>
          </a:r>
        </a:p>
        <a:p>
          <a:endParaRPr lang="en-US" sz="1100"/>
        </a:p>
        <a:p>
          <a:endParaRPr lang="en-US" sz="1100"/>
        </a:p>
        <a:p>
          <a:r>
            <a:rPr lang="en-US" sz="1100"/>
            <a:t>Source:</a:t>
          </a:r>
          <a:r>
            <a:rPr lang="en-US" sz="1100" baseline="0"/>
            <a:t> https://www.simplexdirect.com/Services-Support/load-bank-maintenance-schedules.aspx</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457200</xdr:colOff>
      <xdr:row>5</xdr:row>
      <xdr:rowOff>76200</xdr:rowOff>
    </xdr:from>
    <xdr:to>
      <xdr:col>15</xdr:col>
      <xdr:colOff>495300</xdr:colOff>
      <xdr:row>13</xdr:row>
      <xdr:rowOff>104775</xdr:rowOff>
    </xdr:to>
    <xdr:sp macro="" textlink="">
      <xdr:nvSpPr>
        <xdr:cNvPr id="2" name="TextBox 1">
          <a:extLst>
            <a:ext uri="{FF2B5EF4-FFF2-40B4-BE49-F238E27FC236}">
              <a16:creationId xmlns:a16="http://schemas.microsoft.com/office/drawing/2014/main" id="{AEDFF945-51CB-4ECF-9678-1A61F0B94DFC}"/>
            </a:ext>
          </a:extLst>
        </xdr:cNvPr>
        <xdr:cNvSpPr txBox="1"/>
      </xdr:nvSpPr>
      <xdr:spPr>
        <a:xfrm>
          <a:off x="7848600" y="1028700"/>
          <a:ext cx="3695700"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Frequency</a:t>
          </a:r>
          <a:r>
            <a:rPr lang="en-US" sz="1100" baseline="0"/>
            <a:t> chart is a part of a larger analysis I did on US Data Center statistics. Contact me for more info on this data.</a:t>
          </a:r>
          <a:r>
            <a:rPr lang="en-US" sz="1100" b="0" i="0" u="none" strike="noStrike" baseline="0">
              <a:solidFill>
                <a:schemeClr val="dk1"/>
              </a:solidFill>
              <a:effectLst/>
              <a:latin typeface="+mn-lt"/>
              <a:ea typeface="+mn-ea"/>
              <a:cs typeface="+mn-cs"/>
            </a:rPr>
            <a:t> - Jason Keyser</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409575</xdr:colOff>
      <xdr:row>0</xdr:row>
      <xdr:rowOff>180975</xdr:rowOff>
    </xdr:from>
    <xdr:to>
      <xdr:col>20</xdr:col>
      <xdr:colOff>266700</xdr:colOff>
      <xdr:row>11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B90D61A-762F-4C5D-89C4-046A1E316180}"/>
            </a:ext>
          </a:extLst>
        </xdr:cNvPr>
        <xdr:cNvSpPr txBox="1"/>
      </xdr:nvSpPr>
      <xdr:spPr>
        <a:xfrm>
          <a:off x="7915275" y="180975"/>
          <a:ext cx="7172325" cy="215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"Power system specialists recommend testing the generator systems once a year at full load with a load bank.</a:t>
          </a:r>
          <a:br>
            <a:rPr lang="en-US"/>
          </a:br>
          <a:r>
            <a:rPr lang="en-US" sz="1100" b="0" i="0">
              <a:solidFill>
                <a:schemeClr val="dk1"/>
              </a:solidFill>
              <a:effectLst/>
              <a:latin typeface="+mn-lt"/>
              <a:ea typeface="+mn-ea"/>
              <a:cs typeface="+mn-cs"/>
            </a:rPr>
            <a:t>The National Fire Protection Associations NFPA Code 110 Standard for Emergency and Standby Power Systems, 2005 Edition, specifies load bank testing for EPSS as a requirement by law where life safety electrical needs are involved. Section 8.4.2.3 of this code states the generator must be run at a supplemental load of 25% of nameplate rating for 30 minutes, followed by 50% of nameplate rating for 30 minutes, followed by 75% of nameplate rating for 60 minutes, for a total of two continuous hours."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Source:</a:t>
          </a:r>
          <a:r>
            <a:rPr lang="en-US" sz="1100" b="0" i="0" baseline="0">
              <a:solidFill>
                <a:schemeClr val="dk1"/>
              </a:solidFill>
              <a:effectLst/>
              <a:latin typeface="+mn-lt"/>
              <a:ea typeface="+mn-ea"/>
              <a:cs typeface="+mn-cs"/>
            </a:rPr>
            <a:t> https://www.primepower.com/blog/maintenance-load-bank-testing-of-standby-gensets-preventive-maintenance-practice-for-epss#:~:text=Load%20bank%20testing%20of%20standby%20gensets%20is%20a%20preventive%20maintenance,operation%20during%20utility%20power%20failure.</a:t>
          </a:r>
        </a:p>
        <a:p>
          <a:endParaRPr lang="en-US" sz="1100" u="sng">
            <a:solidFill>
              <a:schemeClr val="accent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Jason Keyser" id="{E50A4FDC-F6BA-49F5-9394-FC866143BB87}" userId="S::jason.keyser@CPGBeyond.com::2866220f-d264-40d3-a7b0-007832744df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7CF57C-F05E-41EC-8447-87B30151E399}" name="Table1" displayName="Table1" ref="A2:I12" totalsRowShown="0" headerRowDxfId="35" headerRowBorderDxfId="34" tableBorderDxfId="33">
  <autoFilter ref="A2:I12" xr:uid="{D17CF57C-F05E-41EC-8447-87B30151E399}"/>
  <tableColumns count="9">
    <tableColumn id="1" xr3:uid="{626940A7-3355-4D2C-8EC4-2190A17F54BD}" name="3000 KW Accessories" dataDxfId="32"/>
    <tableColumn id="2" xr3:uid="{FC84F260-7083-42E3-8B03-A4EEB6D68BC9}" name="Sq Ft"/>
    <tableColumn id="8" xr3:uid="{76712C8D-0630-4CD3-9237-74459F82A095}" name="Warranty"/>
    <tableColumn id="9" xr3:uid="{288C4944-6D87-4E28-BE7F-E22EBCA3D0BE}" name="Shipment Time (Wks)"/>
    <tableColumn id="3" xr3:uid="{30C24F90-2011-4C8E-99A7-8CBA88E6C54D}" name="Unit Price" dataDxfId="31" dataCellStyle="Currency"/>
    <tableColumn id="4" xr3:uid="{86C71C0F-C8D8-4A22-823C-F75BFE9A6617}" name="Needed?" dataDxfId="30" dataCellStyle="Comma"/>
    <tableColumn id="5" xr3:uid="{05333F96-E551-4FCD-B2A8-4E8E671A8194}" name="Qty" dataDxfId="29" dataCellStyle="Comma"/>
    <tableColumn id="6" xr3:uid="{B26CC98E-12A8-47F8-8679-C24CD7EF476D}" name="Notes" dataDxfId="28" dataCellStyle="Comma"/>
    <tableColumn id="7" xr3:uid="{C9226458-DCC9-4956-813B-89850B0DE559}" name="Specs" dataDxfId="27"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7CA90-3EEA-45FC-B0BA-D07E0C0F62B9}" name="Table13" displayName="Table13" ref="A16:I25" totalsRowShown="0" headerRowDxfId="26" headerRowBorderDxfId="25" tableBorderDxfId="24">
  <autoFilter ref="A16:I25" xr:uid="{6977CA90-3EEA-45FC-B0BA-D07E0C0F62B9}"/>
  <tableColumns count="9">
    <tableColumn id="1" xr3:uid="{7BA0614A-876D-493C-8E02-7FBA031AED3B}" name="400 KW Accessories" dataDxfId="23"/>
    <tableColumn id="2" xr3:uid="{0EE9A310-8C26-438D-B1F2-948D69B1C3F6}" name="Sq Ft"/>
    <tableColumn id="8" xr3:uid="{FC0F2D8E-F211-4109-B821-894ADB58D01A}" name="Warranty"/>
    <tableColumn id="9" xr3:uid="{1280EA58-ED2D-4A98-AC8F-1DB8473EC5FE}" name="Shipment Time (Wks)"/>
    <tableColumn id="3" xr3:uid="{3868DB6E-0F2A-4AEE-9085-3B0CE05C630E}" name="Unit Price" dataDxfId="22" dataCellStyle="Currency">
      <calculatedColumnFormula>68/38862</calculatedColumnFormula>
    </tableColumn>
    <tableColumn id="4" xr3:uid="{E5ACC842-772B-4799-826A-B1D5908E7A58}" name="Needed?" dataDxfId="21" dataCellStyle="Comma"/>
    <tableColumn id="5" xr3:uid="{9D29DDA1-9271-4983-88D7-1292DAB105F1}" name="Qty" dataDxfId="20" dataCellStyle="Comma"/>
    <tableColumn id="6" xr3:uid="{1C643B0E-B060-4568-844B-966CEB68F87F}" name="Notes" dataDxfId="19" dataCellStyle="Comma"/>
    <tableColumn id="7" xr3:uid="{9E62D18A-E573-482C-8DFD-731E9DBDB5D9}" name="Specs" dataDxfId="18"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E4D298-59F2-4800-950E-DC5BC36E633D}" name="Table134" displayName="Table134" ref="A65:I74" totalsRowShown="0" headerRowDxfId="17" headerRowBorderDxfId="16" tableBorderDxfId="15">
  <autoFilter ref="A65:I74" xr:uid="{9EE4D298-59F2-4800-950E-DC5BC36E633D}"/>
  <tableColumns count="9">
    <tableColumn id="1" xr3:uid="{38A24087-4B8F-4672-9D6C-61F99B684204}" name="400 KW Accessories" dataDxfId="14"/>
    <tableColumn id="2" xr3:uid="{6DE60939-71C3-4213-98F4-A637529C0AD1}" name="Sq Ft"/>
    <tableColumn id="8" xr3:uid="{08E9C854-06FF-4C00-AB58-90C3CBC05C30}" name="Warranty"/>
    <tableColumn id="9" xr3:uid="{A74BF8B1-ECBA-49A0-9DDF-B9387212D88F}" name="Shipment Time (Wks)"/>
    <tableColumn id="3" xr3:uid="{B5C5138E-EC3D-4190-9F06-EA10BF6D8200}" name="Unit Price" dataDxfId="13" dataCellStyle="Currency">
      <calculatedColumnFormula>68/38862</calculatedColumnFormula>
    </tableColumn>
    <tableColumn id="4" xr3:uid="{4D9F3F8D-E4B7-49BA-AF75-3B66A2BA823D}" name="Needed?" dataDxfId="12" dataCellStyle="Comma"/>
    <tableColumn id="5" xr3:uid="{2E2E0A1A-FE8B-4378-AE58-22B114FBF89B}" name="Qty" dataDxfId="11" dataCellStyle="Comma"/>
    <tableColumn id="6" xr3:uid="{06B2F0DB-2C99-43DE-AC67-BE88E2C7C0B7}" name="Notes" dataDxfId="10" dataCellStyle="Comma"/>
    <tableColumn id="7" xr3:uid="{55301315-147F-4687-BBD8-572E0462E1C5}" name="Specs" dataDxfId="9"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B11BD-B6D7-4B61-A5AF-85142E6D0729}" name="Table1345" displayName="Table1345" ref="A50:I61" totalsRowShown="0" headerRowDxfId="8" headerRowBorderDxfId="7" tableBorderDxfId="6">
  <autoFilter ref="A50:I61" xr:uid="{D5FB11BD-B6D7-4B61-A5AF-85142E6D0729}"/>
  <tableColumns count="9">
    <tableColumn id="1" xr3:uid="{505350A8-F5AD-4A5D-B6A4-888D9C02F717}" name="3000 KW Accessories" dataDxfId="5"/>
    <tableColumn id="2" xr3:uid="{FC7133A0-2AA6-4450-93FB-9B78046D5A29}" name="Sq Ft"/>
    <tableColumn id="8" xr3:uid="{8A14AAB9-EDDF-4B2C-8C24-25E3D337BC15}" name="Warranty"/>
    <tableColumn id="9" xr3:uid="{AE9F316B-DCF7-422B-B57B-B4BB55F0B6DC}" name="Shipment Time (Wks)"/>
    <tableColumn id="3" xr3:uid="{1F32304E-6D6D-4438-BAF8-3FB95B260614}" name="Unit Price" dataDxfId="4" dataCellStyle="Currency">
      <calculatedColumnFormula>68/38862</calculatedColumnFormula>
    </tableColumn>
    <tableColumn id="4" xr3:uid="{B2A86536-9978-4064-855A-A941CC45F672}" name="Needed?" dataDxfId="3" dataCellStyle="Comma"/>
    <tableColumn id="5" xr3:uid="{5B77CA91-E1CE-4F8D-9DB4-8884FB063906}" name="Qty" dataDxfId="2" dataCellStyle="Comma"/>
    <tableColumn id="6" xr3:uid="{CC7F6527-F534-4D4E-BAC2-68DCF5EC9B2D}" name="Notes" dataDxfId="1" dataCellStyle="Comma"/>
    <tableColumn id="7" xr3:uid="{269D6F5B-4F4F-4EF5-9ED2-DE6A5FF05A83}" name="Specs"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2" dT="2022-04-06T20:49:32.52" personId="{E50A4FDC-F6BA-49F5-9394-FC866143BB87}" id="{E2534878-F054-4017-8C56-0437D1A9AF80}">
    <text>https://www.justia.com/tax/corporate-tax/business-tax-deductions/section-179-and-bonus-depreciation/#:~:text=The%20100%20percent%20rule%20will,is%20set%20at%2080%20percent.
The government allows 100% depreciation until the end of 2022</text>
  </threadedComment>
</ThreadedComments>
</file>

<file path=xl/threadedComments/threadedComment2.xml><?xml version="1.0" encoding="utf-8"?>
<ThreadedComments xmlns="http://schemas.microsoft.com/office/spreadsheetml/2018/threadedcomments" xmlns:x="http://schemas.openxmlformats.org/spreadsheetml/2006/main">
  <threadedComment ref="C32" dT="2022-04-06T20:49:32.52" personId="{E50A4FDC-F6BA-49F5-9394-FC866143BB87}" id="{6BFAAA63-B66F-452F-B146-F9CB496AA9ED}">
    <text>https://www.justia.com/tax/corporate-tax/business-tax-deductions/section-179-and-bonus-depreciation/#:~:text=The%20100%20percent%20rule%20will,is%20set%20at%2080%20percent.
The government allows 100% depreciation until the end of 2022</text>
  </threadedComment>
</ThreadedComments>
</file>

<file path=xl/threadedComments/threadedComment3.xml><?xml version="1.0" encoding="utf-8"?>
<ThreadedComments xmlns="http://schemas.microsoft.com/office/spreadsheetml/2018/threadedcomments" xmlns:x="http://schemas.openxmlformats.org/spreadsheetml/2006/main">
  <threadedComment ref="C10" dT="2022-03-30T20:01:28.85" personId="{E50A4FDC-F6BA-49F5-9394-FC866143BB87}" id="{29CD8F83-4EDC-46E4-8207-5F4076B057A7}">
    <text>Some space needs to be left empty for people to walk through the facility, it can't be 100% load banks</text>
  </threadedComment>
  <threadedComment ref="N19" dT="2022-03-29T19:21:09.23" personId="{E50A4FDC-F6BA-49F5-9394-FC866143BB87}" id="{839844D7-C6A3-4266-9413-18829C85157A}">
    <text>Qty represents inflection points in the shipping prices based on quotes from polaris, not the actual number of LBs being shipped but the range it falls into</text>
  </threadedComment>
</ThreadedComments>
</file>

<file path=xl/threadedComments/threadedComment4.xml><?xml version="1.0" encoding="utf-8"?>
<ThreadedComments xmlns="http://schemas.microsoft.com/office/spreadsheetml/2018/threadedcomments" xmlns:x="http://schemas.openxmlformats.org/spreadsheetml/2006/main">
  <threadedComment ref="G14" dT="2022-04-18T21:25:13.76" personId="{E50A4FDC-F6BA-49F5-9394-FC866143BB87}" id="{828B68A4-9A6C-4B1F-A7E9-FB5DD98346FA}">
    <text>The balance inflation forecast stops in 2025. The Fed's target inflation rate of 2% is used as a terminal value</text>
  </threadedComment>
  <threadedComment ref="D19" dT="2022-04-18T22:14:45.37" personId="{E50A4FDC-F6BA-49F5-9394-FC866143BB87}" id="{C079F97C-1082-4C96-BBCE-636CB44F4D80}">
    <text>Like Rental, the forecast does not predict prices but rather industry growth. Storage growth rate is 5.45% until 2026. This is higher than the general economy, so I added .5% on to the forecast of inflation.</text>
  </threadedComment>
  <threadedComment ref="G25" dT="2022-04-18T21:25:13.76" personId="{E50A4FDC-F6BA-49F5-9394-FC866143BB87}" id="{AD5B3DAF-81CE-453C-BAC4-DB134570ACE5}">
    <text>The balance inflation forecast stops in 2025. The Fed's target inflation rate of 2% is used as a terminal value</text>
  </threadedComment>
  <threadedComment ref="G35" dT="2022-04-18T21:25:13.76" personId="{E50A4FDC-F6BA-49F5-9394-FC866143BB87}" id="{6E17E356-523C-4E3F-999E-121032104F8C}">
    <text>The balance inflation forecast stops in 2025. The Fed's target inflation rate of 2% is used as a terminal value</text>
  </threadedComment>
  <threadedComment ref="G47" dT="2022-04-18T21:25:13.76" personId="{E50A4FDC-F6BA-49F5-9394-FC866143BB87}" id="{E5281965-E072-4219-A871-9A1151AA5B9A}">
    <text>The balance inflation forecast stops in 2025. The Fed's target inflation rate of 2% is used as a terminal value</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2-03-28T18:38:26.85" personId="{E50A4FDC-F6BA-49F5-9394-FC866143BB87}" id="{DC074B2B-0A93-4061-9640-3B53F9569A9A}">
    <text>Encore's backup did not include a cost of pickup and delivery. I believe they would have paid united rentals for pickup and delivery, then when they made an extension to keep the equipment on site, no additional charges were applied.
The charges are estimated using SAT's delivery and pickup charges as a percentage of load bank and accessory charges</text>
  </threadedComment>
  <threadedComment ref="B13" dT="2022-04-19T13:55:11.18" personId="{E50A4FDC-F6BA-49F5-9394-FC866143BB87}" id="{582A8D82-EF57-4074-AEDC-EA3ACFBE6ABE}">
    <text>No evidence of a 2500 KW load bank was found in the bills, but Microsoft requirements listed a 2500 kw unit was needed to test the Gens. Pricing of the unit is assumed to be the same as SAT 46.</text>
  </threadedComment>
</ThreadedComments>
</file>

<file path=xl/threadedComments/threadedComment6.xml><?xml version="1.0" encoding="utf-8"?>
<ThreadedComments xmlns="http://schemas.microsoft.com/office/spreadsheetml/2018/threadedcomments" xmlns:x="http://schemas.openxmlformats.org/spreadsheetml/2006/main">
  <threadedComment ref="B58" dT="2022-04-13T18:59:16.54" personId="{E50A4FDC-F6BA-49F5-9394-FC866143BB87}" id="{85587D8A-3125-4752-A73E-7F2F80B30953}">
    <text>Per Aaron Milton, you can get roughly 500 burn hours from a load bank before any significant maintenance</text>
  </threadedComment>
</ThreadedComments>
</file>

<file path=xl/threadedComments/threadedComment7.xml><?xml version="1.0" encoding="utf-8"?>
<ThreadedComments xmlns="http://schemas.microsoft.com/office/spreadsheetml/2018/threadedcomments" xmlns:x="http://schemas.openxmlformats.org/spreadsheetml/2006/main">
  <threadedComment ref="A7" dT="2022-03-28T20:13:03.77" personId="{E50A4FDC-F6BA-49F5-9394-FC866143BB87}" id="{8B784A38-40C8-47BB-ADF9-6551D4368069}">
    <text>Enclosed Cable reels store 4/0 Power Cables</text>
  </threadedComment>
  <threadedComment ref="J7" dT="2022-03-29T20:29:25.45" personId="{E50A4FDC-F6BA-49F5-9394-FC866143BB87}" id="{114D1EF2-CD7B-4AD1-B360-A2ED2576FB99}">
    <text>Stores up to 1000 feet of 4/0 AWG cable</text>
  </threadedComment>
  <threadedComment ref="A27" dT="2022-03-29T16:56:21.75" personId="{E50A4FDC-F6BA-49F5-9394-FC866143BB87}" id="{09D3148F-0603-4453-965C-2F16E9D4A626}">
    <text>Adding in these items which are not provided in LBDs quote to level it with ASCO</text>
  </threadedComment>
  <threadedComment ref="C28" dT="2022-03-29T16:44:49.47" personId="{E50A4FDC-F6BA-49F5-9394-FC866143BB87}" id="{5444BF6C-83C6-4E17-989F-466D49E8B608}">
    <text>Number borrowed from ASCO offering. Assuming 1 digital power meter if complimentary but additional must be bought per load bank</text>
  </threadedComment>
</ThreadedComments>
</file>

<file path=xl/threadedComments/threadedComment8.xml><?xml version="1.0" encoding="utf-8"?>
<ThreadedComments xmlns="http://schemas.microsoft.com/office/spreadsheetml/2018/threadedcomments" xmlns:x="http://schemas.openxmlformats.org/spreadsheetml/2006/main">
  <threadedComment ref="AB20" dT="2022-02-16T21:52:20.94" personId="{E50A4FDC-F6BA-49F5-9394-FC866143BB87}" id="{D8461B92-C2DC-44D4-8E17-7C51E7D5FECD}">
    <text>Labor was not shown on the Change Order extension, and the breakout is also missing from the original contract. A pro-rated amount is used here as an estimate.</text>
  </threadedComment>
</ThreadedComments>
</file>

<file path=xl/threadedComments/threadedComment9.xml><?xml version="1.0" encoding="utf-8"?>
<ThreadedComments xmlns="http://schemas.microsoft.com/office/spreadsheetml/2018/threadedcomments" xmlns:x="http://schemas.openxmlformats.org/spreadsheetml/2006/main">
  <threadedComment ref="I12" dT="2022-02-16T18:33:47.96" personId="{E50A4FDC-F6BA-49F5-9394-FC866143BB87}" id="{28024525-2687-4A77-B976-08CFD6F99C68}">
    <text>cost of accessories includes delivery and pickup charges, should these be shown seperately?</text>
  </threadedComment>
  <threadedComment ref="F45" dT="2022-02-16T18:39:02.96" personId="{E50A4FDC-F6BA-49F5-9394-FC866143BB87}" id="{0DDD2B9D-93AB-4067-88C7-2644E7EB6415}">
    <text>1 delivery and 1 pickup charge are still needed even though 4 week extension was not made. The rest of the charges were divided by 2 gross of tax.</text>
  </threadedComment>
</ThreadedComments>
</file>

<file path=xl/threadedComments/threadedComment10.xml><?xml version="1.0" encoding="utf-8"?>
<ThreadedComments xmlns="http://schemas.microsoft.com/office/spreadsheetml/2018/threadedcomments" xmlns:x="http://schemas.openxmlformats.org/spreadsheetml/2006/main">
  <threadedComment ref="H6" dT="2022-01-31T16:28:30.69" personId="{E50A4FDC-F6BA-49F5-9394-FC866143BB87}" id="{81F6615A-5E8E-4C52-AD90-6290E05AE889}">
    <text>Charge is wrong on invoice</text>
  </threadedComment>
</ThreadedComments>
</file>

<file path=xl/threadedComments/threadedComment11.xml><?xml version="1.0" encoding="utf-8"?>
<ThreadedComments xmlns="http://schemas.microsoft.com/office/spreadsheetml/2018/threadedcomments" xmlns:x="http://schemas.openxmlformats.org/spreadsheetml/2006/main">
  <threadedComment ref="H12" dT="2022-01-31T20:15:29.96" personId="{E50A4FDC-F6BA-49F5-9394-FC866143BB87}" id="{F8968FE6-273C-4F28-BC3C-60D1ADC42E2B}">
    <text>Price per month</text>
  </threadedComment>
  <threadedComment ref="J12" dT="2022-01-31T20:00:10.38" personId="{E50A4FDC-F6BA-49F5-9394-FC866143BB87}" id="{1098C7E7-9E50-429C-B0C8-884111AC3526}">
    <text>400 kw load banks, 3000 kw loadbanks are ignored</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industryarc.com/Report/18489/load-bank-rental-market-research-report-analysis.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https://knoema.com/infographics/prujshc/copper" TargetMode="External"/><Relationship Id="rId7" Type="http://schemas.microsoft.com/office/2017/10/relationships/threadedComment" Target="../threadedComments/threadedComment4.xml"/><Relationship Id="rId2" Type="http://schemas.openxmlformats.org/officeDocument/2006/relationships/hyperlink" Target="https://www.chrobinson.com/en-us/resources/insights-and-advisories/north-america-freight-insights/" TargetMode="External"/><Relationship Id="rId1" Type="http://schemas.openxmlformats.org/officeDocument/2006/relationships/hyperlink" Target="https://www.thebalance.com/us-economic-outlook-3305669"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hyperlink" Target="https://www.fxstreet.com/economic" TargetMode="Externa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datacente.rs/"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7.bin"/><Relationship Id="rId5" Type="http://schemas.openxmlformats.org/officeDocument/2006/relationships/table" Target="../tables/table4.xml"/><Relationship Id="rId4" Type="http://schemas.openxmlformats.org/officeDocument/2006/relationships/table" Target="../tables/table3.xml"/></Relationships>
</file>

<file path=xl/worksheets/_rels/sheet23.xml.rels><?xml version="1.0" encoding="UTF-8" standalone="yes"?>
<Relationships xmlns="http://schemas.openxmlformats.org/package/2006/relationships"><Relationship Id="rId3" Type="http://schemas.openxmlformats.org/officeDocument/2006/relationships/hyperlink" Target="https://www.mouser.com/ProductDetail/Brainboxes/SW-005?qs=BJlw7L4Cy7944%2FIWYfp8eA%3D%3D&amp;mgh=1&amp;gclid=Cj0KCQjw3IqSBhCoARIsAMBkTb2e3_RwRQzOcL_EGPrusLiIUY_1Fzls15Qwlgnmt7cpB_VPmJmQx5MaAtEHEALw_wcB" TargetMode="External"/><Relationship Id="rId2" Type="http://schemas.openxmlformats.org/officeDocument/2006/relationships/hyperlink" Target="https://www.amazon.com/NETGEAR-8-Port-Gigabit-Ethernet-Unmanaged/dp/B07PFYM5MZ/ref=asc_df_B07PFYM5MZ/?tag=&amp;linkCode=df0&amp;hvadid=343224652930&amp;hvpos=&amp;hvnetw=g&amp;hvrand=18397481473242469052&amp;hvpone=&amp;hvptwo=&amp;hvqmt=&amp;hvdev=c&amp;hvdvcmdl=&amp;hvlocint=&amp;hvlocphy=9007574&amp;hvtargid=pla-729340060977&amp;ref=&amp;adgrpid=71764766791&amp;th=1" TargetMode="External"/><Relationship Id="rId1" Type="http://schemas.openxmlformats.org/officeDocument/2006/relationships/hyperlink" Target="https://www.stagelightingstore.com/lex-feeder-cable-1/97254-lex-400-amp-cam-type-4-0-awg-type-sc-cable-extension-50-?gclid=Cj0KCQjw3IqSBhCoARIsAMBkTb1tZZujrjfMS5wJ2C09YLX2c0NVT-cBTNZiZrWKKH13jgawWaEUNH0aAuv_EALw_wcB" TargetMode="External"/><Relationship Id="rId4" Type="http://schemas.openxmlformats.org/officeDocument/2006/relationships/hyperlink" Target="https://cables4sure.com/cat5e-patch-cables-300ft/1298-300ft-cat5e-ethernet-copper-cable-blue.html?gclid=Cj0KCQjw3IqSBhCoARIsAMBkTb0cSM4mpOFfcwjE-ID4wA37OwbOo6Ns3BpyuoDBRm9-f70Fy3_XrTwaAh19EALw_wcB" TargetMode="External"/></Relationships>
</file>

<file path=xl/worksheets/_rels/sheet2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32.xml.rels><?xml version="1.0" encoding="UTF-8" standalone="yes"?>
<Relationships xmlns="http://schemas.openxmlformats.org/package/2006/relationships"><Relationship Id="rId8" Type="http://schemas.openxmlformats.org/officeDocument/2006/relationships/hyperlink" Target="https://www.cubesmart.com/texas-self-storage/san-antonio-self-storage/climate-controlled/4225.html" TargetMode="External"/><Relationship Id="rId13" Type="http://schemas.openxmlformats.org/officeDocument/2006/relationships/hyperlink" Target="https://www.publicstorage.com/self-storage-search?location=ashburn" TargetMode="External"/><Relationship Id="rId18" Type="http://schemas.openxmlformats.org/officeDocument/2006/relationships/comments" Target="../comments13.xml"/><Relationship Id="rId3" Type="http://schemas.openxmlformats.org/officeDocument/2006/relationships/hyperlink" Target="https://www.cubesmart.com/texas-self-storage/dallas-self-storage/climate-controlled/1379.html" TargetMode="External"/><Relationship Id="rId7" Type="http://schemas.openxmlformats.org/officeDocument/2006/relationships/hyperlink" Target="https://www.cubesmart.com/texas-self-storage/dallas-self-storage/climate-controlled/1379.html" TargetMode="External"/><Relationship Id="rId12" Type="http://schemas.openxmlformats.org/officeDocument/2006/relationships/hyperlink" Target="https://www.publicstorage.com/self-storage-search?location=ashburn" TargetMode="External"/><Relationship Id="rId17" Type="http://schemas.openxmlformats.org/officeDocument/2006/relationships/vmlDrawing" Target="../drawings/vmlDrawing13.vml"/><Relationship Id="rId2" Type="http://schemas.openxmlformats.org/officeDocument/2006/relationships/hyperlink" Target="https://www.cubesmart.com/texas-self-storage/san-antonio-self-storage/climate-controlled/4225.html" TargetMode="External"/><Relationship Id="rId16" Type="http://schemas.openxmlformats.org/officeDocument/2006/relationships/hyperlink" Target="https://www.cubesmart.com/virginia-self-storage/ashburn-self-storage/3854.html" TargetMode="External"/><Relationship Id="rId1" Type="http://schemas.openxmlformats.org/officeDocument/2006/relationships/hyperlink" Target="https://www.cubesmart.com/texas-self-storage/san-antonio-self-storage/climate-controlled/4225.html" TargetMode="External"/><Relationship Id="rId6" Type="http://schemas.openxmlformats.org/officeDocument/2006/relationships/hyperlink" Target="https://www.publicstorage.com/self-storage-tx-san-antonio/620?sp=620|9|San%20Antonio|29.42412|-98.49363|0|1|1" TargetMode="External"/><Relationship Id="rId11" Type="http://schemas.openxmlformats.org/officeDocument/2006/relationships/hyperlink" Target="https://www.publicstorage.com/self-storage-search?location=ashburn" TargetMode="External"/><Relationship Id="rId5" Type="http://schemas.openxmlformats.org/officeDocument/2006/relationships/hyperlink" Target="https://www.publicstorage.com/self-storage-tx-san-antonio/620?sp=620|9|San%20Antonio|29.42412|-98.49363|0|1|1" TargetMode="External"/><Relationship Id="rId15" Type="http://schemas.openxmlformats.org/officeDocument/2006/relationships/hyperlink" Target="https://www.cubesmart.com/virginia-self-storage/ashburn-self-storage/3854.html" TargetMode="External"/><Relationship Id="rId10" Type="http://schemas.openxmlformats.org/officeDocument/2006/relationships/hyperlink" Target="https://www.publicstorage.com/self-storage-search?location=ashburn" TargetMode="External"/><Relationship Id="rId19" Type="http://schemas.microsoft.com/office/2017/10/relationships/threadedComment" Target="../threadedComments/threadedComment11.xml"/><Relationship Id="rId4" Type="http://schemas.openxmlformats.org/officeDocument/2006/relationships/hyperlink" Target="https://www.cubesmart.com/texas-self-storage/dallas-self-storage/climate-controlled/1379.html" TargetMode="External"/><Relationship Id="rId9" Type="http://schemas.openxmlformats.org/officeDocument/2006/relationships/hyperlink" Target="https://www.publicstorage.com/self-storage-tx-san-antonio/620?sp=620|9|San%20Antonio|29.42412|-98.49363|0|1|1" TargetMode="External"/><Relationship Id="rId14" Type="http://schemas.openxmlformats.org/officeDocument/2006/relationships/hyperlink" Target="https://www.cubesmart.com/virginia-self-storage/ashburn-self-storage/3854.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7EEEB-72F2-4292-91EA-EA4297DB15ED}">
  <sheetPr codeName="Sheet1"/>
  <dimension ref="A1:J25"/>
  <sheetViews>
    <sheetView showGridLines="0" workbookViewId="0">
      <selection activeCell="B22" sqref="B22:D22"/>
    </sheetView>
  </sheetViews>
  <sheetFormatPr defaultColWidth="9.140625" defaultRowHeight="15"/>
  <cols>
    <col min="1" max="1" width="12.5703125" style="3" customWidth="1"/>
    <col min="2" max="2" width="9.140625" style="3"/>
    <col min="3" max="3" width="4.42578125" style="3" customWidth="1"/>
    <col min="4" max="16384" width="9.140625" style="3"/>
  </cols>
  <sheetData>
    <row r="1" spans="1:10" ht="32.25">
      <c r="A1" s="1" t="s">
        <v>13</v>
      </c>
      <c r="B1" s="2"/>
      <c r="C1" s="2"/>
      <c r="D1" s="2"/>
      <c r="E1" s="2"/>
      <c r="F1" s="2"/>
      <c r="G1" s="2"/>
      <c r="H1" s="2"/>
      <c r="I1" s="2"/>
      <c r="J1" s="2"/>
    </row>
    <row r="2" spans="1:10" ht="23.25">
      <c r="A2" s="4" t="s">
        <v>12</v>
      </c>
      <c r="B2" s="2"/>
      <c r="C2" s="2"/>
      <c r="D2" s="2"/>
      <c r="E2" s="2"/>
      <c r="F2" s="2"/>
      <c r="G2" s="2"/>
      <c r="H2" s="2"/>
      <c r="I2" s="2"/>
      <c r="J2" s="2"/>
    </row>
    <row r="3" spans="1:10" ht="18.75">
      <c r="A3" s="114" t="s">
        <v>174</v>
      </c>
      <c r="B3" s="5"/>
      <c r="C3" s="5"/>
      <c r="D3" s="5"/>
      <c r="E3" s="5"/>
      <c r="F3" s="5"/>
      <c r="G3" s="5"/>
      <c r="H3" s="5"/>
      <c r="I3" s="5"/>
      <c r="J3" s="5"/>
    </row>
    <row r="4" spans="1:10">
      <c r="A4" s="6" t="s">
        <v>175</v>
      </c>
      <c r="B4" s="7"/>
      <c r="C4" s="5"/>
      <c r="D4" s="5"/>
      <c r="E4" s="5"/>
      <c r="F4" s="7"/>
      <c r="G4" s="7"/>
      <c r="H4" s="5"/>
      <c r="I4" s="5"/>
      <c r="J4" s="5"/>
    </row>
    <row r="5" spans="1:10" ht="17.25">
      <c r="A5" s="8"/>
      <c r="B5" s="2"/>
      <c r="C5" s="2"/>
      <c r="D5" s="2"/>
      <c r="E5" s="2"/>
      <c r="F5" s="2"/>
      <c r="G5" s="2"/>
      <c r="H5" s="2"/>
      <c r="I5" s="2"/>
      <c r="J5" s="2"/>
    </row>
    <row r="6" spans="1:10">
      <c r="A6"/>
      <c r="B6"/>
      <c r="C6"/>
      <c r="D6"/>
      <c r="E6"/>
      <c r="F6"/>
      <c r="G6"/>
      <c r="H6"/>
      <c r="I6"/>
      <c r="J6"/>
    </row>
    <row r="7" spans="1:10" ht="86.25" customHeight="1">
      <c r="A7" s="116" t="s">
        <v>176</v>
      </c>
      <c r="B7" s="558" t="s">
        <v>177</v>
      </c>
      <c r="C7" s="558"/>
      <c r="D7" s="558"/>
      <c r="E7" s="558"/>
      <c r="F7" s="558"/>
      <c r="G7" s="558"/>
      <c r="H7" s="115"/>
      <c r="I7" s="115"/>
      <c r="J7" s="115"/>
    </row>
    <row r="8" spans="1:10">
      <c r="A8"/>
      <c r="B8"/>
      <c r="C8" s="10"/>
      <c r="D8"/>
      <c r="E8"/>
      <c r="F8"/>
      <c r="G8"/>
      <c r="H8"/>
      <c r="I8"/>
      <c r="J8"/>
    </row>
    <row r="9" spans="1:10">
      <c r="A9"/>
      <c r="B9"/>
      <c r="C9" s="10"/>
      <c r="D9"/>
      <c r="E9"/>
      <c r="F9"/>
      <c r="G9"/>
      <c r="H9"/>
      <c r="I9"/>
      <c r="J9"/>
    </row>
    <row r="10" spans="1:10">
      <c r="A10"/>
      <c r="B10"/>
      <c r="C10" s="10"/>
      <c r="D10"/>
      <c r="E10"/>
      <c r="F10"/>
      <c r="G10"/>
      <c r="H10"/>
      <c r="I10"/>
      <c r="J10"/>
    </row>
    <row r="11" spans="1:10">
      <c r="A11"/>
      <c r="B11"/>
      <c r="C11" s="10"/>
      <c r="D11"/>
      <c r="E11"/>
      <c r="F11"/>
      <c r="G11"/>
      <c r="H11"/>
      <c r="I11"/>
      <c r="J11"/>
    </row>
    <row r="12" spans="1:10">
      <c r="A12"/>
      <c r="B12"/>
      <c r="C12" s="10"/>
      <c r="D12"/>
      <c r="E12"/>
      <c r="F12"/>
      <c r="G12"/>
      <c r="H12"/>
      <c r="I12"/>
      <c r="J12"/>
    </row>
    <row r="13" spans="1:10">
      <c r="A13"/>
      <c r="B13" s="9"/>
      <c r="C13" s="10"/>
      <c r="D13"/>
      <c r="E13"/>
      <c r="F13"/>
      <c r="G13"/>
      <c r="H13"/>
      <c r="I13"/>
      <c r="J13"/>
    </row>
    <row r="14" spans="1:10">
      <c r="A14"/>
      <c r="B14"/>
      <c r="C14" s="10"/>
      <c r="D14"/>
      <c r="E14"/>
      <c r="F14"/>
      <c r="G14"/>
      <c r="H14"/>
      <c r="I14"/>
      <c r="J14"/>
    </row>
    <row r="15" spans="1:10">
      <c r="A15"/>
      <c r="B15"/>
      <c r="C15" s="10"/>
      <c r="D15"/>
      <c r="E15"/>
      <c r="F15"/>
      <c r="G15"/>
      <c r="H15"/>
      <c r="I15"/>
      <c r="J15"/>
    </row>
    <row r="16" spans="1:10">
      <c r="A16"/>
      <c r="B16"/>
      <c r="C16" s="10"/>
      <c r="D16"/>
      <c r="E16"/>
      <c r="F16"/>
      <c r="G16"/>
      <c r="H16"/>
      <c r="I16"/>
      <c r="J16"/>
    </row>
    <row r="17" spans="1:10">
      <c r="A17"/>
      <c r="B17"/>
      <c r="C17" s="10"/>
      <c r="D17"/>
      <c r="E17"/>
      <c r="F17"/>
      <c r="G17"/>
      <c r="H17"/>
      <c r="I17"/>
      <c r="J17"/>
    </row>
    <row r="18" spans="1:10">
      <c r="A18"/>
      <c r="B18"/>
      <c r="C18" s="10"/>
      <c r="D18"/>
      <c r="E18"/>
      <c r="F18"/>
      <c r="G18"/>
      <c r="H18"/>
      <c r="I18"/>
      <c r="J18"/>
    </row>
    <row r="19" spans="1:10">
      <c r="A19"/>
      <c r="B19" s="10"/>
      <c r="C19" s="10"/>
      <c r="D19"/>
      <c r="E19"/>
      <c r="F19"/>
      <c r="G19"/>
      <c r="H19"/>
      <c r="I19"/>
      <c r="J19"/>
    </row>
    <row r="20" spans="1:10">
      <c r="A20"/>
      <c r="B20" s="10"/>
      <c r="C20" s="10"/>
      <c r="D20"/>
      <c r="E20"/>
      <c r="F20"/>
      <c r="G20"/>
      <c r="H20"/>
      <c r="I20"/>
      <c r="J20"/>
    </row>
    <row r="21" spans="1:10">
      <c r="A21"/>
      <c r="B21" s="9"/>
      <c r="C21"/>
      <c r="D21"/>
      <c r="E21"/>
      <c r="F21"/>
      <c r="G21"/>
      <c r="H21"/>
      <c r="I21"/>
      <c r="J21"/>
    </row>
    <row r="22" spans="1:10">
      <c r="A22"/>
      <c r="B22"/>
      <c r="C22" s="10"/>
      <c r="D22"/>
      <c r="E22"/>
      <c r="F22"/>
      <c r="G22"/>
      <c r="H22"/>
      <c r="I22"/>
      <c r="J22"/>
    </row>
    <row r="23" spans="1:10">
      <c r="A23"/>
      <c r="B23"/>
      <c r="C23" s="10"/>
      <c r="D23"/>
      <c r="E23"/>
      <c r="F23"/>
      <c r="G23"/>
      <c r="H23"/>
      <c r="I23"/>
      <c r="J23"/>
    </row>
    <row r="24" spans="1:10">
      <c r="A24"/>
      <c r="B24"/>
      <c r="C24"/>
      <c r="D24"/>
      <c r="E24"/>
      <c r="F24"/>
      <c r="G24"/>
      <c r="H24"/>
      <c r="I24"/>
      <c r="J24"/>
    </row>
    <row r="25" spans="1:10">
      <c r="A25"/>
      <c r="B25"/>
      <c r="C25"/>
      <c r="D25"/>
      <c r="E25"/>
      <c r="F25"/>
      <c r="G25"/>
      <c r="H25"/>
      <c r="I25"/>
      <c r="J25"/>
    </row>
  </sheetData>
  <mergeCells count="1">
    <mergeCell ref="B7:G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8579-D824-4756-B928-C7E68BDFB2DA}">
  <sheetPr codeName="Sheet11">
    <tabColor rgb="FFFFFF00"/>
  </sheetPr>
  <dimension ref="A1:AD49"/>
  <sheetViews>
    <sheetView showGridLines="0" zoomScale="80" zoomScaleNormal="80" workbookViewId="0">
      <pane xSplit="6" ySplit="5" topLeftCell="G6" activePane="bottomRight" state="frozen"/>
      <selection pane="topRight" activeCell="G1" sqref="G1"/>
      <selection pane="bottomLeft" activeCell="A6" sqref="A6"/>
      <selection pane="bottomRight" activeCell="D14" sqref="D14"/>
    </sheetView>
  </sheetViews>
  <sheetFormatPr defaultColWidth="9.140625" defaultRowHeight="14.25"/>
  <cols>
    <col min="1" max="1" width="19.85546875" style="30" customWidth="1"/>
    <col min="2" max="2" width="5.140625" style="30" customWidth="1"/>
    <col min="3" max="3" width="16.5703125" style="30" customWidth="1"/>
    <col min="4" max="4" width="9.140625" style="30"/>
    <col min="5" max="5" width="2.85546875" style="30" customWidth="1"/>
    <col min="6" max="6" width="36.140625" style="30" customWidth="1"/>
    <col min="7" max="10" width="14.7109375" style="30" bestFit="1" customWidth="1"/>
    <col min="11" max="13" width="16.42578125" style="30" bestFit="1" customWidth="1"/>
    <col min="14" max="17" width="17.7109375" style="30" bestFit="1" customWidth="1"/>
    <col min="18" max="21" width="18.85546875" style="30" bestFit="1" customWidth="1"/>
    <col min="22" max="23" width="20.7109375" style="30" bestFit="1" customWidth="1"/>
    <col min="24" max="30" width="14.7109375" style="30" bestFit="1" customWidth="1"/>
    <col min="31" max="16384" width="9.140625" style="30"/>
  </cols>
  <sheetData>
    <row r="1" spans="1:30" s="3" customFormat="1" ht="32.25">
      <c r="A1" s="1"/>
      <c r="B1" s="2"/>
      <c r="C1" s="2"/>
      <c r="D1" s="30"/>
      <c r="E1" s="1" t="s">
        <v>246</v>
      </c>
      <c r="F1" s="2"/>
      <c r="G1" s="2"/>
      <c r="H1" s="2"/>
      <c r="I1" s="2"/>
      <c r="J1" s="2"/>
      <c r="K1" s="2"/>
      <c r="L1" s="2"/>
      <c r="M1" s="2"/>
      <c r="N1" s="2"/>
      <c r="O1" s="2"/>
      <c r="P1" s="2"/>
      <c r="Q1" s="2"/>
      <c r="R1" s="2"/>
      <c r="S1" s="2"/>
      <c r="T1" s="2"/>
      <c r="U1" s="2"/>
      <c r="V1" s="2"/>
      <c r="W1" s="2"/>
      <c r="X1" s="2"/>
      <c r="Y1" s="2"/>
      <c r="Z1" s="2"/>
      <c r="AA1" s="2"/>
      <c r="AB1" s="2"/>
      <c r="AC1" s="2"/>
      <c r="AD1" s="2"/>
    </row>
    <row r="2" spans="1:30" s="3" customFormat="1" ht="26.25">
      <c r="A2" s="27" t="s">
        <v>15</v>
      </c>
      <c r="B2" s="2"/>
      <c r="C2" s="2"/>
      <c r="D2" s="30"/>
      <c r="E2" s="4"/>
      <c r="F2" s="418" t="s">
        <v>635</v>
      </c>
      <c r="G2" s="559" t="s">
        <v>332</v>
      </c>
      <c r="H2" s="559"/>
      <c r="I2" s="560" t="s">
        <v>333</v>
      </c>
      <c r="J2" s="560"/>
      <c r="K2" s="560"/>
      <c r="L2" s="560"/>
      <c r="M2" s="560"/>
      <c r="N2" s="560"/>
      <c r="O2" s="560"/>
      <c r="P2" s="560"/>
      <c r="Q2" s="560"/>
      <c r="R2" s="560"/>
      <c r="S2" s="560"/>
      <c r="T2" s="560"/>
      <c r="U2" s="560"/>
      <c r="V2" s="560"/>
      <c r="W2" s="560"/>
      <c r="X2" s="2"/>
      <c r="Y2" s="2"/>
      <c r="Z2" s="2"/>
      <c r="AA2" s="2"/>
      <c r="AB2" s="2"/>
      <c r="AC2" s="2"/>
      <c r="AD2" s="2"/>
    </row>
    <row r="3" spans="1:30" ht="24" thickBot="1">
      <c r="A3" s="46" t="s">
        <v>74</v>
      </c>
      <c r="B3" s="32"/>
      <c r="C3" s="32"/>
      <c r="E3" s="212"/>
      <c r="F3" s="29"/>
      <c r="G3" s="29"/>
      <c r="H3" s="29"/>
      <c r="I3" s="29"/>
      <c r="J3" s="29"/>
      <c r="K3" s="29"/>
      <c r="L3" s="29"/>
      <c r="M3" s="29"/>
      <c r="N3" s="29"/>
      <c r="O3" s="29"/>
      <c r="P3" s="29"/>
      <c r="Q3" s="29"/>
      <c r="R3" s="29"/>
      <c r="S3" s="29"/>
      <c r="T3" s="29"/>
      <c r="U3" s="29"/>
      <c r="V3" s="29"/>
      <c r="W3" s="29"/>
      <c r="X3" s="29"/>
      <c r="Y3" s="29"/>
      <c r="Z3" s="29"/>
      <c r="AA3" s="29"/>
      <c r="AB3" s="29"/>
      <c r="AC3" s="29"/>
      <c r="AD3" s="29"/>
    </row>
    <row r="4" spans="1:30" ht="15">
      <c r="A4" s="29" t="s">
        <v>453</v>
      </c>
      <c r="B4"/>
      <c r="C4" s="117">
        <f>'Cash Flow Old'!C4</f>
        <v>1</v>
      </c>
      <c r="E4" s="29"/>
      <c r="F4" s="238" t="s">
        <v>122</v>
      </c>
      <c r="G4" s="257">
        <v>0</v>
      </c>
      <c r="H4" s="257">
        <v>0</v>
      </c>
      <c r="I4" s="225">
        <v>0</v>
      </c>
      <c r="J4" s="225">
        <v>1</v>
      </c>
      <c r="K4" s="225">
        <v>2</v>
      </c>
      <c r="L4" s="225">
        <v>3</v>
      </c>
      <c r="M4" s="225">
        <v>4</v>
      </c>
      <c r="N4" s="225">
        <v>5</v>
      </c>
      <c r="O4" s="225">
        <v>6</v>
      </c>
      <c r="P4" s="225">
        <v>7</v>
      </c>
      <c r="Q4" s="225">
        <v>8</v>
      </c>
      <c r="R4" s="225">
        <v>9</v>
      </c>
      <c r="S4" s="225">
        <v>10</v>
      </c>
      <c r="T4" s="225">
        <v>11</v>
      </c>
      <c r="U4" s="225">
        <v>12</v>
      </c>
      <c r="V4" s="225">
        <v>13</v>
      </c>
      <c r="W4" s="225">
        <v>14</v>
      </c>
      <c r="X4" s="225">
        <v>15</v>
      </c>
      <c r="Y4" s="225">
        <v>16</v>
      </c>
      <c r="Z4" s="225">
        <v>17</v>
      </c>
      <c r="AA4" s="225">
        <v>18</v>
      </c>
      <c r="AB4" s="225">
        <v>19</v>
      </c>
      <c r="AC4" s="225">
        <v>20</v>
      </c>
      <c r="AD4" s="225"/>
    </row>
    <row r="5" spans="1:30" ht="15.75" thickBot="1">
      <c r="A5" s="29" t="s">
        <v>454</v>
      </c>
      <c r="B5"/>
      <c r="C5" s="117">
        <f>'Cash Flow Old'!C5</f>
        <v>0</v>
      </c>
      <c r="E5" s="29"/>
      <c r="F5" s="32"/>
      <c r="G5" s="251">
        <v>2020</v>
      </c>
      <c r="H5" s="251">
        <v>2021</v>
      </c>
      <c r="I5" s="251">
        <v>2022</v>
      </c>
      <c r="J5" s="251">
        <v>2023</v>
      </c>
      <c r="K5" s="251">
        <v>2024</v>
      </c>
      <c r="L5" s="251">
        <v>2025</v>
      </c>
      <c r="M5" s="251">
        <v>2026</v>
      </c>
      <c r="N5" s="251">
        <v>2027</v>
      </c>
      <c r="O5" s="251">
        <v>2028</v>
      </c>
      <c r="P5" s="251">
        <v>2029</v>
      </c>
      <c r="Q5" s="251">
        <v>2030</v>
      </c>
      <c r="R5" s="251">
        <v>2031</v>
      </c>
      <c r="S5" s="251">
        <v>2032</v>
      </c>
      <c r="T5" s="251">
        <v>2033</v>
      </c>
      <c r="U5" s="251">
        <v>2034</v>
      </c>
      <c r="V5" s="251">
        <v>2035</v>
      </c>
      <c r="W5" s="251">
        <v>2036</v>
      </c>
      <c r="X5" s="251">
        <v>2037</v>
      </c>
      <c r="Y5" s="251">
        <v>2038</v>
      </c>
      <c r="Z5" s="251">
        <v>2039</v>
      </c>
      <c r="AA5" s="251">
        <v>2040</v>
      </c>
      <c r="AB5" s="251">
        <v>2041</v>
      </c>
      <c r="AC5" s="251">
        <v>2041</v>
      </c>
      <c r="AD5" s="251"/>
    </row>
    <row r="6" spans="1:30" ht="15">
      <c r="A6" s="29" t="s">
        <v>551</v>
      </c>
      <c r="B6"/>
      <c r="C6" s="117">
        <f>((C17+3)*C4)+((C23+3)*C5)</f>
        <v>3</v>
      </c>
      <c r="E6" s="29"/>
      <c r="F6" s="29"/>
      <c r="G6" s="228"/>
      <c r="H6" s="228"/>
      <c r="I6" s="228"/>
      <c r="J6" s="228"/>
      <c r="K6" s="228"/>
      <c r="L6" s="29"/>
      <c r="M6" s="29"/>
      <c r="N6" s="29"/>
      <c r="O6" s="29"/>
      <c r="P6" s="29"/>
      <c r="Q6" s="29"/>
      <c r="R6" s="29"/>
      <c r="S6" s="29"/>
      <c r="T6" s="29"/>
      <c r="U6" s="29"/>
      <c r="V6" s="29"/>
      <c r="W6" s="29"/>
      <c r="X6" s="29"/>
      <c r="Y6" s="29"/>
      <c r="Z6" s="29"/>
      <c r="AA6" s="29"/>
      <c r="AB6" s="29"/>
      <c r="AC6" s="29"/>
      <c r="AD6" s="29"/>
    </row>
    <row r="7" spans="1:30" ht="15">
      <c r="A7"/>
      <c r="B7"/>
      <c r="C7" s="117"/>
      <c r="E7" s="29"/>
      <c r="F7" s="29" t="s">
        <v>243</v>
      </c>
      <c r="G7" s="228"/>
      <c r="H7" s="228"/>
      <c r="I7" s="228"/>
      <c r="J7" s="228"/>
      <c r="K7" s="228"/>
      <c r="L7" s="29"/>
      <c r="M7" s="29"/>
      <c r="N7" s="29"/>
      <c r="O7" s="29"/>
      <c r="P7" s="29"/>
      <c r="Q7" s="29"/>
      <c r="R7" s="29"/>
      <c r="S7" s="29"/>
      <c r="T7" s="29"/>
      <c r="U7" s="29"/>
      <c r="V7" s="29"/>
      <c r="W7" s="29"/>
      <c r="X7" s="29"/>
      <c r="Y7" s="29"/>
      <c r="Z7" s="29"/>
      <c r="AA7" s="29"/>
      <c r="AB7" s="29"/>
      <c r="AC7" s="29"/>
      <c r="AD7" s="29"/>
    </row>
    <row r="8" spans="1:30" ht="15">
      <c r="A8" s="270" t="s">
        <v>223</v>
      </c>
      <c r="B8" s="295"/>
      <c r="C8" s="117"/>
      <c r="E8" s="29"/>
      <c r="F8" s="213" t="s">
        <v>247</v>
      </c>
      <c r="G8" s="433">
        <v>97304053.079999998</v>
      </c>
      <c r="H8" s="433">
        <v>235185617.49000001</v>
      </c>
      <c r="I8" s="434">
        <f>IF(I$4&lt;=$C$25,$H$8*(1+$C$33)^I4,"")</f>
        <v>235185617.49000001</v>
      </c>
      <c r="J8" s="434">
        <f t="shared" ref="J8:AB8" si="0">IF(J$4&lt;=$C$25,$H$8*(1+$C$33)^J4,"")</f>
        <v>246944898.36450002</v>
      </c>
      <c r="K8" s="434">
        <f t="shared" si="0"/>
        <v>259292143.28272501</v>
      </c>
      <c r="L8" s="434">
        <f t="shared" si="0"/>
        <v>272256750.44686127</v>
      </c>
      <c r="M8" s="434">
        <f t="shared" si="0"/>
        <v>285869587.96920431</v>
      </c>
      <c r="N8" s="434">
        <f t="shared" si="0"/>
        <v>300163067.36766458</v>
      </c>
      <c r="O8" s="434">
        <f t="shared" si="0"/>
        <v>315171220.73604774</v>
      </c>
      <c r="P8" s="434">
        <f t="shared" si="0"/>
        <v>330929781.77285022</v>
      </c>
      <c r="Q8" s="434">
        <f t="shared" si="0"/>
        <v>347476270.86149269</v>
      </c>
      <c r="R8" s="434">
        <f t="shared" si="0"/>
        <v>364850084.40456736</v>
      </c>
      <c r="S8" s="434">
        <f t="shared" si="0"/>
        <v>383092588.62479568</v>
      </c>
      <c r="T8" s="434">
        <f t="shared" si="0"/>
        <v>402247218.05603552</v>
      </c>
      <c r="U8" s="434">
        <f t="shared" si="0"/>
        <v>422359578.95883721</v>
      </c>
      <c r="V8" s="434">
        <f t="shared" si="0"/>
        <v>443477557.90677917</v>
      </c>
      <c r="W8" s="434">
        <f t="shared" si="0"/>
        <v>465651435.802118</v>
      </c>
      <c r="X8" s="434">
        <f t="shared" si="0"/>
        <v>488934007.59222406</v>
      </c>
      <c r="Y8" s="434" t="str">
        <f t="shared" si="0"/>
        <v/>
      </c>
      <c r="Z8" s="434" t="str">
        <f t="shared" si="0"/>
        <v/>
      </c>
      <c r="AA8" s="434" t="str">
        <f t="shared" si="0"/>
        <v/>
      </c>
      <c r="AB8" s="434" t="str">
        <f t="shared" si="0"/>
        <v/>
      </c>
      <c r="AC8" s="229"/>
      <c r="AD8" s="229"/>
    </row>
    <row r="9" spans="1:30" ht="15">
      <c r="A9" s="29" t="s">
        <v>500</v>
      </c>
      <c r="B9"/>
      <c r="C9" s="393">
        <f>'Cash Flow Old'!C8</f>
        <v>0</v>
      </c>
      <c r="E9" s="29"/>
      <c r="F9" s="213" t="s">
        <v>330</v>
      </c>
      <c r="G9" s="433">
        <v>143060.5</v>
      </c>
      <c r="H9" s="433">
        <v>104573.45</v>
      </c>
      <c r="I9" s="434">
        <f ca="1">IF(I$4&lt;=$C$25,-'Master Tab'!$F$11*(1+$C$18)^I$4+($H$9*(1+$C$18)^I$4),"")</f>
        <v>363426.64991031325</v>
      </c>
      <c r="J9" s="434">
        <f ca="1">IF(J$4&lt;=$C$25,-'Master Tab'!$F$11*(1+$C$18)^J$4+($H$9*(1+$C$18)^J$4),"")</f>
        <v>375238.01603239845</v>
      </c>
      <c r="K9" s="434">
        <f ca="1">IF(K$4&lt;=$C$25,-'Master Tab'!$F$11*(1+$C$18)^K$4+($H$9*(1+$C$18)^K$4),"")</f>
        <v>387433.25155345129</v>
      </c>
      <c r="L9" s="434">
        <f ca="1">IF(L$4&lt;=$C$25,-'Master Tab'!$F$11*(1+$C$18)^L$4+($H$9*(1+$C$18)^L$4),"")</f>
        <v>400024.83222893847</v>
      </c>
      <c r="M9" s="434">
        <f ca="1">IF(M$4&lt;=$C$25,-'Master Tab'!$F$11*(1+$C$18)^M$4+($H$9*(1+$C$18)^M$4),"")</f>
        <v>413025.63927637896</v>
      </c>
      <c r="N9" s="434">
        <f ca="1">IF(N$4&lt;=$C$25,-'Master Tab'!$F$11*(1+$C$18)^N$4+($H$9*(1+$C$18)^N$4),"")</f>
        <v>426448.97255286126</v>
      </c>
      <c r="O9" s="434">
        <f ca="1">IF(O$4&lt;=$C$25,-'Master Tab'!$F$11*(1+$C$18)^O$4+($H$9*(1+$C$18)^O$4),"")</f>
        <v>440308.56416082924</v>
      </c>
      <c r="P9" s="434">
        <f ca="1">IF(P$4&lt;=$C$25,-'Master Tab'!$F$11*(1+$C$18)^P$4+($H$9*(1+$C$18)^P$4),"")</f>
        <v>454618.59249605617</v>
      </c>
      <c r="Q9" s="434">
        <f ca="1">IF(Q$4&lt;=$C$25,-'Master Tab'!$F$11*(1+$C$18)^Q$4+($H$9*(1+$C$18)^Q$4),"")</f>
        <v>469393.69675217813</v>
      </c>
      <c r="R9" s="434">
        <f ca="1">IF(R$4&lt;=$C$25,-'Master Tab'!$F$11*(1+$C$18)^R$4+($H$9*(1+$C$18)^R$4),"")</f>
        <v>484648.99189662386</v>
      </c>
      <c r="S9" s="434">
        <f ca="1">IF(S$4&lt;=$C$25,-'Master Tab'!$F$11*(1+$C$18)^S$4+($H$9*(1+$C$18)^S$4),"")</f>
        <v>500400.08413326414</v>
      </c>
      <c r="T9" s="434">
        <f ca="1">IF(T$4&lt;=$C$25,-'Master Tab'!$F$11*(1+$C$18)^T$4+($H$9*(1+$C$18)^T$4),"")</f>
        <v>516663.08686759515</v>
      </c>
      <c r="U9" s="434">
        <f ca="1">IF(U$4&lt;=$C$25,-'Master Tab'!$F$11*(1+$C$18)^U$4+($H$9*(1+$C$18)^U$4),"")</f>
        <v>533454.63719079201</v>
      </c>
      <c r="V9" s="434">
        <f ca="1">IF(V$4&lt;=$C$25,-'Master Tab'!$F$11*(1+$C$18)^V$4+($H$9*(1+$C$18)^V$4),"")</f>
        <v>550791.91289949277</v>
      </c>
      <c r="W9" s="434">
        <f ca="1">IF(W$4&lt;=$C$25,-'Master Tab'!$F$11*(1+$C$18)^W$4+($H$9*(1+$C$18)^W$4),"")</f>
        <v>568692.65006872616</v>
      </c>
      <c r="X9" s="434">
        <f ca="1">IF(X$4&lt;=$C$25,-'Master Tab'!$F$11*(1+$C$18)^X$4+($H$9*(1+$C$18)^X$4),"")</f>
        <v>587175.16119595978</v>
      </c>
      <c r="Y9" s="434" t="str">
        <f>IF(Y$4&lt;=$C$25,-'Master Tab'!$F$11*(1+$C$18)^Y$4+($H$9*(1+$C$18)^Y$4),"")</f>
        <v/>
      </c>
      <c r="Z9" s="434" t="str">
        <f>IF(Z$4&lt;=$C$25,-'Master Tab'!$F$11*(1+$C$18)^Z$4+($H$9*(1+$C$18)^Z$4),"")</f>
        <v/>
      </c>
      <c r="AA9" s="434" t="str">
        <f>IF(AA$4&lt;=$C$25,-'Master Tab'!$F$11*(1+$C$18)^AA$4+($H$9*(1+$C$18)^AA$4),"")</f>
        <v/>
      </c>
      <c r="AB9" s="434" t="str">
        <f>IF(AB$4&lt;=$C$25,-'Master Tab'!$F$11*(1+$C$18)^AB$4+($H$9*(1+$C$18)^AB$4),"")</f>
        <v/>
      </c>
      <c r="AC9" s="229"/>
      <c r="AD9" s="229"/>
    </row>
    <row r="10" spans="1:30" ht="15">
      <c r="A10" s="29" t="s">
        <v>501</v>
      </c>
      <c r="B10"/>
      <c r="C10" s="393">
        <f>'Cash Flow Old'!C9</f>
        <v>68</v>
      </c>
      <c r="E10" s="29"/>
      <c r="F10" s="213" t="s">
        <v>331</v>
      </c>
      <c r="G10" s="433">
        <v>78149899.849999979</v>
      </c>
      <c r="H10" s="433">
        <v>51056642.465997159</v>
      </c>
      <c r="I10" s="434">
        <f>IF(I$4&lt;=$C$25,$H$10*(1+$C$33)^I4,"")</f>
        <v>51056642.465997159</v>
      </c>
      <c r="J10" s="434">
        <f t="shared" ref="J10:AB10" si="1">IF(J$4&lt;=$C$25,$H$10*(1+$C$33)^J4,"")</f>
        <v>53609474.589297019</v>
      </c>
      <c r="K10" s="434">
        <f t="shared" si="1"/>
        <v>56289948.31876187</v>
      </c>
      <c r="L10" s="434">
        <f t="shared" si="1"/>
        <v>59104445.734699965</v>
      </c>
      <c r="M10" s="434">
        <f t="shared" si="1"/>
        <v>62059668.021434963</v>
      </c>
      <c r="N10" s="434">
        <f t="shared" si="1"/>
        <v>65162651.422506712</v>
      </c>
      <c r="O10" s="434">
        <f t="shared" si="1"/>
        <v>68420783.993632048</v>
      </c>
      <c r="P10" s="434">
        <f t="shared" si="1"/>
        <v>71841823.193313658</v>
      </c>
      <c r="Q10" s="434">
        <f t="shared" si="1"/>
        <v>75433914.352979332</v>
      </c>
      <c r="R10" s="434">
        <f t="shared" si="1"/>
        <v>79205610.0706283</v>
      </c>
      <c r="S10" s="434">
        <f t="shared" si="1"/>
        <v>83165890.574159712</v>
      </c>
      <c r="T10" s="434">
        <f t="shared" si="1"/>
        <v>87324185.102867708</v>
      </c>
      <c r="U10" s="434">
        <f t="shared" si="1"/>
        <v>91690394.358011082</v>
      </c>
      <c r="V10" s="434">
        <f t="shared" si="1"/>
        <v>96274914.075911656</v>
      </c>
      <c r="W10" s="434">
        <f t="shared" si="1"/>
        <v>101088659.77970721</v>
      </c>
      <c r="X10" s="434">
        <f t="shared" si="1"/>
        <v>106143092.76869261</v>
      </c>
      <c r="Y10" s="434" t="str">
        <f t="shared" si="1"/>
        <v/>
      </c>
      <c r="Z10" s="434" t="str">
        <f t="shared" si="1"/>
        <v/>
      </c>
      <c r="AA10" s="434" t="str">
        <f t="shared" si="1"/>
        <v/>
      </c>
      <c r="AB10" s="434" t="str">
        <f t="shared" si="1"/>
        <v/>
      </c>
      <c r="AC10" s="229"/>
      <c r="AD10" s="229"/>
    </row>
    <row r="11" spans="1:30" ht="15">
      <c r="A11" s="29"/>
      <c r="B11"/>
      <c r="C11" s="64"/>
      <c r="E11" s="29"/>
      <c r="F11" s="29" t="s">
        <v>8</v>
      </c>
      <c r="G11" s="435">
        <f>SUM(G8:G10)</f>
        <v>175597013.42999998</v>
      </c>
      <c r="H11" s="435">
        <f t="shared" ref="H11" si="2">SUM(H8:H10)</f>
        <v>286346833.40599716</v>
      </c>
      <c r="I11" s="435">
        <f ca="1">IF(I$4&lt;=$C$25,SUM(I8:I10),"")</f>
        <v>286605686.60590744</v>
      </c>
      <c r="J11" s="435">
        <f t="shared" ref="J11:AB11" ca="1" si="3">IF(J$4&lt;=$C$25,SUM(J8:J10),"")</f>
        <v>300929610.96982944</v>
      </c>
      <c r="K11" s="435">
        <f t="shared" ca="1" si="3"/>
        <v>315969524.85304034</v>
      </c>
      <c r="L11" s="435">
        <f t="shared" ca="1" si="3"/>
        <v>331761221.01379019</v>
      </c>
      <c r="M11" s="435">
        <f t="shared" ca="1" si="3"/>
        <v>348342281.62991565</v>
      </c>
      <c r="N11" s="435">
        <f t="shared" ca="1" si="3"/>
        <v>365752167.7627241</v>
      </c>
      <c r="O11" s="435">
        <f t="shared" ca="1" si="3"/>
        <v>384032313.29384065</v>
      </c>
      <c r="P11" s="435">
        <f t="shared" ca="1" si="3"/>
        <v>403226223.55865991</v>
      </c>
      <c r="Q11" s="435">
        <f t="shared" ca="1" si="3"/>
        <v>423379578.91122425</v>
      </c>
      <c r="R11" s="435">
        <f t="shared" ca="1" si="3"/>
        <v>444540343.46709228</v>
      </c>
      <c r="S11" s="435">
        <f t="shared" ca="1" si="3"/>
        <v>466758879.28308868</v>
      </c>
      <c r="T11" s="435">
        <f t="shared" ca="1" si="3"/>
        <v>490088066.24577081</v>
      </c>
      <c r="U11" s="435">
        <f t="shared" ca="1" si="3"/>
        <v>514583427.9540391</v>
      </c>
      <c r="V11" s="435">
        <f t="shared" ca="1" si="3"/>
        <v>540303263.89559031</v>
      </c>
      <c r="W11" s="435">
        <f t="shared" ca="1" si="3"/>
        <v>567308788.2318939</v>
      </c>
      <c r="X11" s="435">
        <f t="shared" ca="1" si="3"/>
        <v>595664275.52211261</v>
      </c>
      <c r="Y11" s="435" t="str">
        <f t="shared" si="3"/>
        <v/>
      </c>
      <c r="Z11" s="435" t="str">
        <f t="shared" si="3"/>
        <v/>
      </c>
      <c r="AA11" s="435" t="str">
        <f t="shared" si="3"/>
        <v/>
      </c>
      <c r="AB11" s="435" t="str">
        <f t="shared" si="3"/>
        <v/>
      </c>
      <c r="AC11" s="215"/>
      <c r="AD11" s="215"/>
    </row>
    <row r="12" spans="1:30" ht="15.75" thickBot="1">
      <c r="A12" s="46" t="s">
        <v>353</v>
      </c>
      <c r="B12" s="32"/>
      <c r="C12" s="32"/>
      <c r="E12" s="29"/>
      <c r="F12" s="29"/>
      <c r="G12" s="434"/>
      <c r="H12" s="434"/>
      <c r="I12" s="434"/>
      <c r="J12" s="434"/>
      <c r="K12" s="434"/>
      <c r="L12" s="434"/>
      <c r="M12" s="434"/>
      <c r="N12" s="434"/>
      <c r="O12" s="434"/>
      <c r="P12" s="434"/>
      <c r="Q12" s="434"/>
      <c r="R12" s="434"/>
      <c r="S12" s="434"/>
      <c r="T12" s="434"/>
      <c r="U12" s="434"/>
      <c r="V12" s="434"/>
      <c r="W12" s="434"/>
      <c r="X12" s="434"/>
      <c r="Y12" s="434"/>
      <c r="Z12" s="434"/>
      <c r="AA12" s="434"/>
      <c r="AB12" s="434"/>
      <c r="AC12" s="229"/>
      <c r="AD12" s="229"/>
    </row>
    <row r="13" spans="1:30" ht="15">
      <c r="A13" s="256" t="s">
        <v>392</v>
      </c>
      <c r="B13"/>
      <c r="C13" s="394" t="s">
        <v>394</v>
      </c>
      <c r="E13" s="29"/>
      <c r="F13" s="29" t="s">
        <v>248</v>
      </c>
      <c r="G13" s="434"/>
      <c r="H13" s="434"/>
      <c r="I13" s="434"/>
      <c r="J13" s="434"/>
      <c r="K13" s="434"/>
      <c r="L13" s="434"/>
      <c r="M13" s="434"/>
      <c r="N13" s="434"/>
      <c r="O13" s="434"/>
      <c r="P13" s="434"/>
      <c r="Q13" s="434"/>
      <c r="R13" s="434"/>
      <c r="S13" s="434"/>
      <c r="T13" s="434"/>
      <c r="U13" s="434"/>
      <c r="V13" s="434"/>
      <c r="W13" s="434"/>
      <c r="X13" s="434"/>
      <c r="Y13" s="434"/>
      <c r="Z13" s="434"/>
      <c r="AA13" s="434"/>
      <c r="AB13" s="434"/>
      <c r="AC13" s="230"/>
      <c r="AD13" s="230"/>
    </row>
    <row r="14" spans="1:30">
      <c r="A14" s="256" t="s">
        <v>354</v>
      </c>
      <c r="B14" s="256"/>
      <c r="C14" s="235">
        <f>IF(C13="Best Case",0.8,IF(C13="Most Likely Case",0.5,0))</f>
        <v>0.5</v>
      </c>
      <c r="E14" s="29"/>
      <c r="F14" s="213" t="s">
        <v>336</v>
      </c>
      <c r="G14" s="433">
        <v>82662114.349999994</v>
      </c>
      <c r="H14" s="433">
        <v>201870460.80000001</v>
      </c>
      <c r="I14" s="434">
        <f ca="1">IF(I$4&lt;=$C$25,($H$14-'Master Tab'!$I$21)*(1+$C$33)^I$4,"")</f>
        <v>201571557.54810935</v>
      </c>
      <c r="J14" s="434">
        <f ca="1">IF(J$4&lt;=$C$25,($H$14-'Master Tab'!$I$21)*(1+$C$33)^J$4,"")</f>
        <v>211650135.42551482</v>
      </c>
      <c r="K14" s="434">
        <f ca="1">IF(K$4&lt;=$C$25,($H$14-'Master Tab'!$I$21)*(1+$C$33)^K$4,"")</f>
        <v>222232642.19679058</v>
      </c>
      <c r="L14" s="434">
        <f ca="1">IF(L$4&lt;=$C$25,($H$14-'Master Tab'!$I$21)*(1+$C$33)^L$4,"")</f>
        <v>233344274.3066301</v>
      </c>
      <c r="M14" s="434">
        <f ca="1">IF(M$4&lt;=$C$25,($H$14-'Master Tab'!$I$21)*(1+$C$33)^M$4,"")</f>
        <v>245011488.0219616</v>
      </c>
      <c r="N14" s="434">
        <f ca="1">IF(N$4&lt;=$C$25,($H$14-'Master Tab'!$I$21)*(1+$C$33)^N$4,"")</f>
        <v>257262062.4230597</v>
      </c>
      <c r="O14" s="434">
        <f ca="1">IF(O$4&lt;=$C$25,($H$14-'Master Tab'!$I$21)*(1+$C$33)^O$4,"")</f>
        <v>270125165.54421264</v>
      </c>
      <c r="P14" s="434">
        <f ca="1">IF(P$4&lt;=$C$25,($H$14-'Master Tab'!$I$21)*(1+$C$33)^P$4,"")</f>
        <v>283631423.82142335</v>
      </c>
      <c r="Q14" s="434">
        <f ca="1">IF(Q$4&lt;=$C$25,($H$14-'Master Tab'!$I$21)*(1+$C$33)^Q$4,"")</f>
        <v>297812995.01249444</v>
      </c>
      <c r="R14" s="434">
        <f ca="1">IF(R$4&lt;=$C$25,($H$14-'Master Tab'!$I$21)*(1+$C$33)^R$4,"")</f>
        <v>312703644.76311922</v>
      </c>
      <c r="S14" s="434">
        <f ca="1">IF(S$4&lt;=$C$25,($H$14-'Master Tab'!$I$21)*(1+$C$33)^S$4,"")</f>
        <v>328338827.00127518</v>
      </c>
      <c r="T14" s="434">
        <f ca="1">IF(T$4&lt;=$C$25,($H$14-'Master Tab'!$I$21)*(1+$C$33)^T$4,"")</f>
        <v>344755768.35133892</v>
      </c>
      <c r="U14" s="434">
        <f ca="1">IF(U$4&lt;=$C$25,($H$14-'Master Tab'!$I$21)*(1+$C$33)^U$4,"")</f>
        <v>361993556.76890582</v>
      </c>
      <c r="V14" s="434">
        <f ca="1">IF(V$4&lt;=$C$25,($H$14-'Master Tab'!$I$21)*(1+$C$33)^V$4,"")</f>
        <v>380093234.60735118</v>
      </c>
      <c r="W14" s="434">
        <f ca="1">IF(W$4&lt;=$C$25,($H$14-'Master Tab'!$I$21)*(1+$C$33)^W$4,"")</f>
        <v>399097896.33771867</v>
      </c>
      <c r="X14" s="434">
        <f ca="1">IF(X$4&lt;=$C$25,($H$14-'Master Tab'!$I$21)*(1+$C$33)^X$4,"")</f>
        <v>419052791.15460473</v>
      </c>
      <c r="Y14" s="434" t="str">
        <f>IF(Y$4&lt;=$C$25,($H$14-'Master Tab'!$I$21)*(1+$C$33)^Y$4,"")</f>
        <v/>
      </c>
      <c r="Z14" s="434" t="str">
        <f>IF(Z$4&lt;=$C$25,($H$14-'Master Tab'!$I$21)*(1+$C$33)^Z$4,"")</f>
        <v/>
      </c>
      <c r="AA14" s="434" t="str">
        <f>IF(AA$4&lt;=$C$25,($H$14-'Master Tab'!$I$21)*(1+$C$33)^AA$4,"")</f>
        <v/>
      </c>
      <c r="AB14" s="434" t="str">
        <f>IF(AB$4&lt;=$C$25,($H$14-'Master Tab'!$I$21)*(1+$C$33)^AB$4,"")</f>
        <v/>
      </c>
      <c r="AC14" s="230"/>
      <c r="AD14" s="230"/>
    </row>
    <row r="15" spans="1:30">
      <c r="A15" s="256" t="s">
        <v>355</v>
      </c>
      <c r="B15" s="256"/>
      <c r="C15" s="421">
        <f ca="1">-'Master Tab'!$F$11</f>
        <v>258853.19991031324</v>
      </c>
      <c r="E15" s="29"/>
      <c r="F15" s="213" t="s">
        <v>330</v>
      </c>
      <c r="G15" s="433">
        <v>239471.56</v>
      </c>
      <c r="H15" s="433">
        <v>236265.89</v>
      </c>
      <c r="I15" s="434">
        <f ca="1">IF(I$4&lt;=$C$25,(('Master Tab'!$I$21*$C$37)+$H$15)*(1+$C$18)^I$4,"")</f>
        <v>490333.65410706471</v>
      </c>
      <c r="J15" s="434">
        <f ca="1">IF(J$4&lt;=$C$25,(('Master Tab'!$I$21*$C$37)+$H$15)*(1+$C$18)^J$4,"")</f>
        <v>506269.49786554428</v>
      </c>
      <c r="K15" s="434">
        <f ca="1">IF(K$4&lt;=$C$25,(('Master Tab'!$I$21*$C$37)+$H$15)*(1+$C$18)^K$4,"")</f>
        <v>522723.25654617447</v>
      </c>
      <c r="L15" s="434">
        <f ca="1">IF(L$4&lt;=$C$25,(('Master Tab'!$I$21*$C$37)+$H$15)*(1+$C$18)^L$4,"")</f>
        <v>539711.76238392503</v>
      </c>
      <c r="M15" s="434">
        <f ca="1">IF(M$4&lt;=$C$25,(('Master Tab'!$I$21*$C$37)+$H$15)*(1+$C$18)^M$4,"")</f>
        <v>557252.39466140268</v>
      </c>
      <c r="N15" s="434">
        <f ca="1">IF(N$4&lt;=$C$25,(('Master Tab'!$I$21*$C$37)+$H$15)*(1+$C$18)^N$4,"")</f>
        <v>575363.09748789819</v>
      </c>
      <c r="O15" s="434">
        <f ca="1">IF(O$4&lt;=$C$25,(('Master Tab'!$I$21*$C$37)+$H$15)*(1+$C$18)^O$4,"")</f>
        <v>594062.3981562549</v>
      </c>
      <c r="P15" s="434">
        <f ca="1">IF(P$4&lt;=$C$25,(('Master Tab'!$I$21*$C$37)+$H$15)*(1+$C$18)^P$4,"")</f>
        <v>613369.42609633319</v>
      </c>
      <c r="Q15" s="434">
        <f ca="1">IF(Q$4&lt;=$C$25,(('Master Tab'!$I$21*$C$37)+$H$15)*(1+$C$18)^Q$4,"")</f>
        <v>633303.93244446407</v>
      </c>
      <c r="R15" s="434">
        <f ca="1">IF(R$4&lt;=$C$25,(('Master Tab'!$I$21*$C$37)+$H$15)*(1+$C$18)^R$4,"")</f>
        <v>653886.31024890917</v>
      </c>
      <c r="S15" s="434">
        <f ca="1">IF(S$4&lt;=$C$25,(('Master Tab'!$I$21*$C$37)+$H$15)*(1+$C$18)^S$4,"")</f>
        <v>675137.61533199868</v>
      </c>
      <c r="T15" s="434">
        <f ca="1">IF(T$4&lt;=$C$25,(('Master Tab'!$I$21*$C$37)+$H$15)*(1+$C$18)^T$4,"")</f>
        <v>697079.58783028857</v>
      </c>
      <c r="U15" s="434">
        <f ca="1">IF(U$4&lt;=$C$25,(('Master Tab'!$I$21*$C$37)+$H$15)*(1+$C$18)^U$4,"")</f>
        <v>719734.67443477304</v>
      </c>
      <c r="V15" s="434">
        <f ca="1">IF(V$4&lt;=$C$25,(('Master Tab'!$I$21*$C$37)+$H$15)*(1+$C$18)^V$4,"")</f>
        <v>743126.05135390302</v>
      </c>
      <c r="W15" s="434">
        <f ca="1">IF(W$4&lt;=$C$25,(('Master Tab'!$I$21*$C$37)+$H$15)*(1+$C$18)^W$4,"")</f>
        <v>767277.64802290476</v>
      </c>
      <c r="X15" s="434">
        <f ca="1">IF(X$4&lt;=$C$25,(('Master Tab'!$I$21*$C$37)+$H$15)*(1+$C$18)^X$4,"")</f>
        <v>792214.17158364924</v>
      </c>
      <c r="Y15" s="434" t="str">
        <f>IF(Y$4&lt;=$C$25,(('Master Tab'!$I$21*$C$37)+$H$15)*(1+$C$18)^Y$4,"")</f>
        <v/>
      </c>
      <c r="Z15" s="434" t="str">
        <f>IF(Z$4&lt;=$C$25,(('Master Tab'!$I$21*$C$37)+$H$15)*(1+$C$18)^Z$4,"")</f>
        <v/>
      </c>
      <c r="AA15" s="434" t="str">
        <f>IF(AA$4&lt;=$C$25,(('Master Tab'!$I$21*$C$37)+$H$15)*(1+$C$18)^AA$4,"")</f>
        <v/>
      </c>
      <c r="AB15" s="434" t="str">
        <f>IF(AB$4&lt;=$C$25,(('Master Tab'!$I$21*$C$37)+$H$15)*(1+$C$18)^AB$4,"")</f>
        <v/>
      </c>
      <c r="AC15" s="230"/>
      <c r="AD15" s="230"/>
    </row>
    <row r="16" spans="1:30">
      <c r="A16" s="29"/>
      <c r="B16" s="29"/>
      <c r="C16" s="117"/>
      <c r="E16" s="29"/>
      <c r="F16" s="213" t="s">
        <v>260</v>
      </c>
      <c r="G16" s="433">
        <v>0</v>
      </c>
      <c r="H16" s="433">
        <v>0</v>
      </c>
      <c r="I16" s="434">
        <f>IF(I$4&lt;=$C$25,'Master Tab'!$F$8*(1+$C$20)^I$4,"")</f>
        <v>40000</v>
      </c>
      <c r="J16" s="434">
        <f>IF(J$4&lt;=$C$25,'Master Tab'!$F$8*(1+$C$20)^J$4,"")</f>
        <v>41300</v>
      </c>
      <c r="K16" s="434">
        <f>IF(K$4&lt;=$C$25,'Master Tab'!$F$8*(1+$C$20)^K$4,"")</f>
        <v>42642.25</v>
      </c>
      <c r="L16" s="434">
        <f>IF(L$4&lt;=$C$25,'Master Tab'!$F$8*(1+$C$20)^L$4,"")</f>
        <v>44028.123124999991</v>
      </c>
      <c r="M16" s="434">
        <f>IF(M$4&lt;=$C$25,'Master Tab'!$F$8*(1+$C$20)^M$4,"")</f>
        <v>45459.037126562493</v>
      </c>
      <c r="N16" s="434">
        <f>IF(N$4&lt;=$C$25,'Master Tab'!$F$8*(1+$C$20)^N$4,"")</f>
        <v>46936.455833175773</v>
      </c>
      <c r="O16" s="434">
        <f>IF(O$4&lt;=$C$25,'Master Tab'!$F$8*(1+$C$20)^O$4,"")</f>
        <v>48461.890647753986</v>
      </c>
      <c r="P16" s="434">
        <f>IF(P$4&lt;=$C$25,'Master Tab'!$F$8*(1+$C$20)^P$4,"")</f>
        <v>50036.902093805991</v>
      </c>
      <c r="Q16" s="434">
        <f>IF(Q$4&lt;=$C$25,'Master Tab'!$F$8*(1+$C$20)^Q$4,"")</f>
        <v>51663.101411854688</v>
      </c>
      <c r="R16" s="434">
        <f>IF(R$4&lt;=$C$25,'Master Tab'!$F$8*(1+$C$20)^R$4,"")</f>
        <v>53342.152207739971</v>
      </c>
      <c r="S16" s="434">
        <f>IF(S$4&lt;=$C$25,'Master Tab'!$F$8*(1+$C$20)^S$4,"")</f>
        <v>55075.772154491511</v>
      </c>
      <c r="T16" s="434">
        <f>IF(T$4&lt;=$C$25,'Master Tab'!$F$8*(1+$C$20)^T$4,"")</f>
        <v>56865.734749512485</v>
      </c>
      <c r="U16" s="434">
        <f>IF(U$4&lt;=$C$25,'Master Tab'!$F$8*(1+$C$20)^U$4,"")</f>
        <v>58713.871128871637</v>
      </c>
      <c r="V16" s="434">
        <f>IF(V$4&lt;=$C$25,'Master Tab'!$F$8*(1+$C$20)^V$4,"")</f>
        <v>60622.071940559959</v>
      </c>
      <c r="W16" s="434">
        <f>IF(W$4&lt;=$C$25,'Master Tab'!$F$8*(1+$C$20)^W$4,"")</f>
        <v>62592.289278628152</v>
      </c>
      <c r="X16" s="434">
        <f>IF(X$4&lt;=$C$25,'Master Tab'!$F$8*(1+$C$20)^X$4,"")</f>
        <v>64626.53868018357</v>
      </c>
      <c r="Y16" s="434" t="str">
        <f>IF(Y$4&lt;=$C$25,'Master Tab'!$F$8*(1+$C$20)^Y$4,"")</f>
        <v/>
      </c>
      <c r="Z16" s="434" t="str">
        <f>IF(Z$4&lt;=$C$25,'Master Tab'!$F$8*(1+$C$20)^Z$4,"")</f>
        <v/>
      </c>
      <c r="AA16" s="434" t="str">
        <f>IF(AA$4&lt;=$C$25,'Master Tab'!$F$8*(1+$C$20)^AA$4,"")</f>
        <v/>
      </c>
      <c r="AB16" s="434" t="str">
        <f>IF(AB$4&lt;=$C$25,'Master Tab'!$F$8*(1+$C$20)^AB$4,"")</f>
        <v/>
      </c>
      <c r="AC16" s="229"/>
      <c r="AD16" s="229"/>
    </row>
    <row r="17" spans="1:30" ht="15">
      <c r="A17" s="270" t="s">
        <v>257</v>
      </c>
      <c r="B17"/>
      <c r="C17" s="113"/>
      <c r="E17" s="29"/>
      <c r="F17" s="213" t="s">
        <v>335</v>
      </c>
      <c r="G17" s="433">
        <v>647212.43000000005</v>
      </c>
      <c r="H17" s="433">
        <v>651214.24</v>
      </c>
      <c r="I17" s="434">
        <f ca="1">IF(I$4&lt;=$C$25,SUM('Master Tab'!$F$9,$H$17)*(1+$C$19)^I4,"")</f>
        <v>840214.24</v>
      </c>
      <c r="J17" s="434">
        <f ca="1">IF(J$4&lt;=$C$25,SUM('Master Tab'!$F$9,$H$17)*(1+$C$19)^J4,"")</f>
        <v>867521.20279999997</v>
      </c>
      <c r="K17" s="434">
        <f ca="1">IF(K$4&lt;=$C$25,SUM('Master Tab'!$F$9,$H$17)*(1+$C$19)^K4,"")</f>
        <v>895715.64189099998</v>
      </c>
      <c r="L17" s="434">
        <f ca="1">IF(L$4&lt;=$C$25,SUM('Master Tab'!$F$9,$H$17)*(1+$C$19)^L4,"")</f>
        <v>924826.40025245736</v>
      </c>
      <c r="M17" s="434">
        <f ca="1">IF(M$4&lt;=$C$25,SUM('Master Tab'!$F$9,$H$17)*(1+$C$19)^M4,"")</f>
        <v>954883.25826066232</v>
      </c>
      <c r="N17" s="434">
        <f ca="1">IF(N$4&lt;=$C$25,SUM('Master Tab'!$F$9,$H$17)*(1+$C$19)^N4,"")</f>
        <v>985916.96415413369</v>
      </c>
      <c r="O17" s="434">
        <f ca="1">IF(O$4&lt;=$C$25,SUM('Master Tab'!$F$9,$H$17)*(1+$C$19)^O4,"")</f>
        <v>1017959.265489143</v>
      </c>
      <c r="P17" s="434">
        <f ca="1">IF(P$4&lt;=$C$25,SUM('Master Tab'!$F$9,$H$17)*(1+$C$19)^P4,"")</f>
        <v>1051042.9416175401</v>
      </c>
      <c r="Q17" s="434">
        <f ca="1">IF(Q$4&lt;=$C$25,SUM('Master Tab'!$F$9,$H$17)*(1+$C$19)^Q4,"")</f>
        <v>1085201.8372201102</v>
      </c>
      <c r="R17" s="434">
        <f ca="1">IF(R$4&lt;=$C$25,SUM('Master Tab'!$F$9,$H$17)*(1+$C$19)^R4,"")</f>
        <v>1120470.896929764</v>
      </c>
      <c r="S17" s="434">
        <f ca="1">IF(S$4&lt;=$C$25,SUM('Master Tab'!$F$9,$H$17)*(1+$C$19)^S4,"")</f>
        <v>1156886.2010799812</v>
      </c>
      <c r="T17" s="434">
        <f ca="1">IF(T$4&lt;=$C$25,SUM('Master Tab'!$F$9,$H$17)*(1+$C$19)^T4,"")</f>
        <v>1194485.0026150804</v>
      </c>
      <c r="U17" s="434">
        <f ca="1">IF(U$4&lt;=$C$25,SUM('Master Tab'!$F$9,$H$17)*(1+$C$19)^U4,"")</f>
        <v>1233305.7652000706</v>
      </c>
      <c r="V17" s="434">
        <f ca="1">IF(V$4&lt;=$C$25,SUM('Master Tab'!$F$9,$H$17)*(1+$C$19)^V4,"")</f>
        <v>1273388.2025690728</v>
      </c>
      <c r="W17" s="434">
        <f ca="1">IF(W$4&lt;=$C$25,SUM('Master Tab'!$F$9,$H$17)*(1+$C$19)^W4,"")</f>
        <v>1314773.3191525675</v>
      </c>
      <c r="X17" s="434">
        <f ca="1">IF(X$4&lt;=$C$25,SUM('Master Tab'!$F$9,$H$17)*(1+$C$19)^X4,"")</f>
        <v>1357503.4520250261</v>
      </c>
      <c r="Y17" s="434" t="str">
        <f>IF(Y$4&lt;=$C$25,SUM('Master Tab'!$F$9,$H$17)*(1+$C$19)^Y4,"")</f>
        <v/>
      </c>
      <c r="Z17" s="434" t="str">
        <f>IF(Z$4&lt;=$C$25,SUM('Master Tab'!$F$9,$H$17)*(1+$C$19)^Z4,"")</f>
        <v/>
      </c>
      <c r="AA17" s="434" t="str">
        <f>IF(AA$4&lt;=$C$25,SUM('Master Tab'!$F$9,$H$17)*(1+$C$19)^AA4,"")</f>
        <v/>
      </c>
      <c r="AB17" s="434" t="str">
        <f>IF(AB$4&lt;=$C$25,SUM('Master Tab'!$F$9,$H$17)*(1+$C$19)^AB4,"")</f>
        <v/>
      </c>
      <c r="AC17" s="229"/>
      <c r="AD17" s="229"/>
    </row>
    <row r="18" spans="1:30" ht="15">
      <c r="A18" s="29" t="s">
        <v>356</v>
      </c>
      <c r="B18"/>
      <c r="C18" s="392">
        <f>IF($C$13="Best Case",0.05,IF($C$13="Most Likely Case",0.0325,0.01))</f>
        <v>3.2500000000000001E-2</v>
      </c>
      <c r="E18" s="29"/>
      <c r="F18" s="213" t="s">
        <v>331</v>
      </c>
      <c r="G18" s="433">
        <v>62540355.260000095</v>
      </c>
      <c r="H18" s="433">
        <v>48350040.788259499</v>
      </c>
      <c r="I18" s="434">
        <f t="shared" ref="I18:AB18" si="4">IF(I$4&lt;=$C$25,($H$18*(1+$C$33)^I$4),"")</f>
        <v>48350040.788259499</v>
      </c>
      <c r="J18" s="434">
        <f t="shared" si="4"/>
        <v>50767542.827672474</v>
      </c>
      <c r="K18" s="434">
        <f t="shared" si="4"/>
        <v>53305919.9690561</v>
      </c>
      <c r="L18" s="434">
        <f t="shared" si="4"/>
        <v>55971215.967508912</v>
      </c>
      <c r="M18" s="434">
        <f t="shared" si="4"/>
        <v>58769776.765884347</v>
      </c>
      <c r="N18" s="434">
        <f t="shared" si="4"/>
        <v>61708265.60417857</v>
      </c>
      <c r="O18" s="434">
        <f t="shared" si="4"/>
        <v>64793678.884387493</v>
      </c>
      <c r="P18" s="434">
        <f t="shared" si="4"/>
        <v>68033362.828606874</v>
      </c>
      <c r="Q18" s="434">
        <f t="shared" si="4"/>
        <v>71435030.970037222</v>
      </c>
      <c r="R18" s="434">
        <f t="shared" si="4"/>
        <v>75006782.518539086</v>
      </c>
      <c r="S18" s="434">
        <f t="shared" si="4"/>
        <v>78757121.644466028</v>
      </c>
      <c r="T18" s="434">
        <f t="shared" si="4"/>
        <v>82694977.726689339</v>
      </c>
      <c r="U18" s="434">
        <f t="shared" si="4"/>
        <v>86829726.613023788</v>
      </c>
      <c r="V18" s="434">
        <f t="shared" si="4"/>
        <v>91171212.943674996</v>
      </c>
      <c r="W18" s="434">
        <f t="shared" si="4"/>
        <v>95729773.590858728</v>
      </c>
      <c r="X18" s="434">
        <f t="shared" si="4"/>
        <v>100516262.2704017</v>
      </c>
      <c r="Y18" s="434" t="str">
        <f t="shared" si="4"/>
        <v/>
      </c>
      <c r="Z18" s="434" t="str">
        <f t="shared" si="4"/>
        <v/>
      </c>
      <c r="AA18" s="434" t="str">
        <f t="shared" si="4"/>
        <v/>
      </c>
      <c r="AB18" s="434" t="str">
        <f t="shared" si="4"/>
        <v/>
      </c>
      <c r="AC18" s="229"/>
      <c r="AD18" s="229"/>
    </row>
    <row r="19" spans="1:30" ht="15">
      <c r="A19" s="29" t="s">
        <v>3</v>
      </c>
      <c r="B19"/>
      <c r="C19" s="392">
        <f>IF($C$13="Best Case",0.01,IF($C$13="Most Likely Case",0.0325,0.05))</f>
        <v>3.2500000000000001E-2</v>
      </c>
      <c r="E19" s="29"/>
      <c r="F19" s="29" t="s">
        <v>8</v>
      </c>
      <c r="G19" s="435">
        <f>SUM(G14:G18)</f>
        <v>146089153.60000008</v>
      </c>
      <c r="H19" s="435">
        <f>SUM(H14:H18)</f>
        <v>251107981.71825951</v>
      </c>
      <c r="I19" s="435">
        <f t="shared" ref="I19:AB19" ca="1" si="5">IF(I$4&lt;=$C$25,SUM(I14:I18),"")</f>
        <v>251292146.23047593</v>
      </c>
      <c r="J19" s="435">
        <f t="shared" ca="1" si="5"/>
        <v>263832768.95385286</v>
      </c>
      <c r="K19" s="435">
        <f t="shared" ca="1" si="5"/>
        <v>276999643.31428385</v>
      </c>
      <c r="L19" s="435">
        <f t="shared" ca="1" si="5"/>
        <v>290824056.5599004</v>
      </c>
      <c r="M19" s="435">
        <f t="shared" ca="1" si="5"/>
        <v>305338859.4778946</v>
      </c>
      <c r="N19" s="435">
        <f t="shared" ca="1" si="5"/>
        <v>320578544.54471344</v>
      </c>
      <c r="O19" s="435">
        <f t="shared" ca="1" si="5"/>
        <v>336579327.98289329</v>
      </c>
      <c r="P19" s="435">
        <f t="shared" ca="1" si="5"/>
        <v>353379235.91983795</v>
      </c>
      <c r="Q19" s="435">
        <f t="shared" ca="1" si="5"/>
        <v>371018194.85360813</v>
      </c>
      <c r="R19" s="435">
        <f t="shared" ca="1" si="5"/>
        <v>389538126.64104468</v>
      </c>
      <c r="S19" s="435">
        <f t="shared" ca="1" si="5"/>
        <v>408983048.23430771</v>
      </c>
      <c r="T19" s="435">
        <f t="shared" ca="1" si="5"/>
        <v>429399176.40322316</v>
      </c>
      <c r="U19" s="435">
        <f t="shared" ca="1" si="5"/>
        <v>450835037.69269335</v>
      </c>
      <c r="V19" s="435">
        <f t="shared" ca="1" si="5"/>
        <v>473341583.87688971</v>
      </c>
      <c r="W19" s="435">
        <f t="shared" ca="1" si="5"/>
        <v>496972313.18503153</v>
      </c>
      <c r="X19" s="435">
        <f t="shared" ca="1" si="5"/>
        <v>521783397.58729529</v>
      </c>
      <c r="Y19" s="435" t="str">
        <f t="shared" si="5"/>
        <v/>
      </c>
      <c r="Z19" s="435" t="str">
        <f t="shared" si="5"/>
        <v/>
      </c>
      <c r="AA19" s="435" t="str">
        <f t="shared" si="5"/>
        <v/>
      </c>
      <c r="AB19" s="435" t="str">
        <f t="shared" si="5"/>
        <v/>
      </c>
      <c r="AC19" s="215"/>
      <c r="AD19" s="215"/>
    </row>
    <row r="20" spans="1:30" ht="15">
      <c r="A20" s="29" t="s">
        <v>2</v>
      </c>
      <c r="B20"/>
      <c r="C20" s="392">
        <f>IF($C$13="Best Case",0.01,IF($C$13="Most Likely Case",0.0325,0.05))</f>
        <v>3.2500000000000001E-2</v>
      </c>
      <c r="E20" s="29"/>
      <c r="F20" s="29"/>
      <c r="G20" s="434"/>
      <c r="H20" s="434"/>
      <c r="I20" s="434"/>
      <c r="J20" s="434"/>
      <c r="K20" s="434"/>
      <c r="L20" s="434"/>
      <c r="M20" s="434"/>
      <c r="N20" s="434"/>
      <c r="O20" s="434"/>
      <c r="P20" s="434"/>
      <c r="Q20" s="434"/>
      <c r="R20" s="434"/>
      <c r="S20" s="434"/>
      <c r="T20" s="434"/>
      <c r="U20" s="434"/>
      <c r="V20" s="434"/>
      <c r="W20" s="434"/>
      <c r="X20" s="434"/>
      <c r="Y20" s="434"/>
      <c r="Z20" s="434"/>
      <c r="AA20" s="434"/>
      <c r="AB20" s="434"/>
      <c r="AC20" s="229"/>
      <c r="AD20" s="229"/>
    </row>
    <row r="21" spans="1:30" ht="15">
      <c r="A21" s="29" t="s">
        <v>212</v>
      </c>
      <c r="B21"/>
      <c r="C21" s="392">
        <f>IF($C$13="Best Case",0.01,IF($C$13="Most Likely Case",0.0325,0.05))</f>
        <v>3.2500000000000001E-2</v>
      </c>
      <c r="E21" s="29"/>
      <c r="F21" s="29"/>
      <c r="G21" s="434"/>
      <c r="H21" s="434"/>
      <c r="I21" s="434"/>
      <c r="J21" s="434"/>
      <c r="K21" s="434"/>
      <c r="L21" s="434"/>
      <c r="M21" s="434"/>
      <c r="N21" s="434"/>
      <c r="O21" s="434"/>
      <c r="P21" s="434"/>
      <c r="Q21" s="434"/>
      <c r="R21" s="434"/>
      <c r="S21" s="434"/>
      <c r="T21" s="434"/>
      <c r="U21" s="434"/>
      <c r="V21" s="434"/>
      <c r="W21" s="434"/>
      <c r="X21" s="434"/>
      <c r="Y21" s="434"/>
      <c r="Z21" s="434"/>
      <c r="AA21" s="434"/>
      <c r="AB21" s="434"/>
      <c r="AC21" s="216"/>
      <c r="AD21" s="216"/>
    </row>
    <row r="22" spans="1:30" ht="15">
      <c r="A22" s="29"/>
      <c r="B22"/>
      <c r="C22" s="235"/>
      <c r="E22" s="29"/>
      <c r="F22" s="217" t="s">
        <v>435</v>
      </c>
      <c r="G22" s="436">
        <f t="shared" ref="G22:AB22" si="6">IF(G$4&lt;=$C$25,G11-G19,"")</f>
        <v>29507859.829999894</v>
      </c>
      <c r="H22" s="436">
        <f t="shared" si="6"/>
        <v>35238851.687737644</v>
      </c>
      <c r="I22" s="436">
        <f ca="1">IF(I$4&lt;=$C$25,I11-I19,"")</f>
        <v>35313540.375431508</v>
      </c>
      <c r="J22" s="436">
        <f t="shared" ca="1" si="6"/>
        <v>37096842.015976578</v>
      </c>
      <c r="K22" s="436">
        <f t="shared" ca="1" si="6"/>
        <v>38969881.53875649</v>
      </c>
      <c r="L22" s="436">
        <f t="shared" ca="1" si="6"/>
        <v>40937164.453889787</v>
      </c>
      <c r="M22" s="436">
        <f t="shared" ca="1" si="6"/>
        <v>43003422.15202105</v>
      </c>
      <c r="N22" s="436">
        <f t="shared" ca="1" si="6"/>
        <v>45173623.218010664</v>
      </c>
      <c r="O22" s="436">
        <f t="shared" ca="1" si="6"/>
        <v>47452985.310947359</v>
      </c>
      <c r="P22" s="436">
        <f t="shared" ca="1" si="6"/>
        <v>49846987.638821959</v>
      </c>
      <c r="Q22" s="436">
        <f t="shared" ca="1" si="6"/>
        <v>52361384.057616115</v>
      </c>
      <c r="R22" s="436">
        <f t="shared" ca="1" si="6"/>
        <v>55002216.826047599</v>
      </c>
      <c r="S22" s="436">
        <f t="shared" ca="1" si="6"/>
        <v>57775831.048780978</v>
      </c>
      <c r="T22" s="436">
        <f t="shared" ca="1" si="6"/>
        <v>60688889.842547655</v>
      </c>
      <c r="U22" s="436">
        <f t="shared" ca="1" si="6"/>
        <v>63748390.261345744</v>
      </c>
      <c r="V22" s="436">
        <f t="shared" ca="1" si="6"/>
        <v>66961680.0187006</v>
      </c>
      <c r="W22" s="436">
        <f t="shared" ca="1" si="6"/>
        <v>70336475.046862364</v>
      </c>
      <c r="X22" s="436">
        <f t="shared" ca="1" si="6"/>
        <v>73880877.934817314</v>
      </c>
      <c r="Y22" s="436" t="str">
        <f t="shared" si="6"/>
        <v/>
      </c>
      <c r="Z22" s="436" t="str">
        <f t="shared" si="6"/>
        <v/>
      </c>
      <c r="AA22" s="436" t="str">
        <f t="shared" si="6"/>
        <v/>
      </c>
      <c r="AB22" s="436" t="str">
        <f t="shared" si="6"/>
        <v/>
      </c>
      <c r="AC22" s="232"/>
      <c r="AD22" s="232"/>
    </row>
    <row r="23" spans="1:30" ht="15">
      <c r="A23" s="270" t="s">
        <v>254</v>
      </c>
      <c r="B23"/>
      <c r="C23" s="35"/>
      <c r="E23" s="29"/>
      <c r="F23" s="29" t="s">
        <v>337</v>
      </c>
      <c r="G23" s="429"/>
      <c r="H23" s="429"/>
      <c r="I23" s="429"/>
      <c r="J23" s="429"/>
      <c r="K23" s="429"/>
      <c r="L23" s="429"/>
      <c r="M23" s="429"/>
      <c r="N23" s="429"/>
      <c r="O23" s="429"/>
      <c r="P23" s="429"/>
      <c r="Q23" s="429"/>
      <c r="R23" s="429"/>
      <c r="S23" s="429"/>
      <c r="T23" s="429"/>
      <c r="U23" s="429"/>
      <c r="V23" s="429"/>
      <c r="W23" s="429"/>
      <c r="X23" s="429"/>
      <c r="Y23" s="429"/>
      <c r="Z23" s="429"/>
      <c r="AA23" s="429"/>
      <c r="AB23" s="429"/>
      <c r="AC23" s="220"/>
      <c r="AD23" s="220"/>
    </row>
    <row r="24" spans="1:30" ht="15">
      <c r="A24" s="256" t="s">
        <v>363</v>
      </c>
      <c r="B24"/>
      <c r="C24" s="113" t="s">
        <v>364</v>
      </c>
      <c r="E24" s="29"/>
      <c r="F24" s="213" t="s">
        <v>338</v>
      </c>
      <c r="G24" s="433">
        <v>2899.74</v>
      </c>
      <c r="H24" s="433">
        <v>79215.360000000001</v>
      </c>
      <c r="I24" s="434">
        <f ca="1">IF(I$4&lt;=$C$25,SUM($H$24,'Master Tab'!$F$7)*(1+$C$21)^I$4,"")</f>
        <v>85502.100133445376</v>
      </c>
      <c r="J24" s="434">
        <f ca="1">IF(J$4&lt;=$C$25,SUM($H$24,'Master Tab'!$F$7)*(1+$C$21)^J$4,"")</f>
        <v>88280.918387782353</v>
      </c>
      <c r="K24" s="434">
        <f ca="1">IF(K$4&lt;=$C$25,SUM($H$24,'Master Tab'!$F$7)*(1+$C$21)^K$4,"")</f>
        <v>91150.048235385271</v>
      </c>
      <c r="L24" s="434">
        <f ca="1">IF(L$4&lt;=$C$25,SUM($H$24,'Master Tab'!$F$7)*(1+$C$21)^L$4,"")</f>
        <v>94112.424803035276</v>
      </c>
      <c r="M24" s="434">
        <f ca="1">IF(M$4&lt;=$C$25,SUM($H$24,'Master Tab'!$F$7)*(1+$C$21)^M$4,"")</f>
        <v>97171.07860913394</v>
      </c>
      <c r="N24" s="434">
        <f ca="1">IF(N$4&lt;=$C$25,SUM($H$24,'Master Tab'!$F$7)*(1+$C$21)^N$4,"")</f>
        <v>100329.13866393079</v>
      </c>
      <c r="O24" s="434">
        <f ca="1">IF(O$4&lt;=$C$25,SUM($H$24,'Master Tab'!$F$7)*(1+$C$21)^O$4,"")</f>
        <v>103589.83567050853</v>
      </c>
      <c r="P24" s="434">
        <f ca="1">IF(P$4&lt;=$C$25,SUM($H$24,'Master Tab'!$F$7)*(1+$C$21)^P$4,"")</f>
        <v>106956.50532980006</v>
      </c>
      <c r="Q24" s="434">
        <f ca="1">IF(Q$4&lt;=$C$25,SUM($H$24,'Master Tab'!$F$7)*(1+$C$21)^Q$4,"")</f>
        <v>110432.59175301857</v>
      </c>
      <c r="R24" s="434">
        <f ca="1">IF(R$4&lt;=$C$25,SUM($H$24,'Master Tab'!$F$7)*(1+$C$21)^R$4,"")</f>
        <v>114021.65098499168</v>
      </c>
      <c r="S24" s="434">
        <f ca="1">IF(S$4&lt;=$C$25,SUM($H$24,'Master Tab'!$F$7)*(1+$C$21)^S$4,"")</f>
        <v>117727.35464200391</v>
      </c>
      <c r="T24" s="434">
        <f ca="1">IF(T$4&lt;=$C$25,SUM($H$24,'Master Tab'!$F$7)*(1+$C$21)^T$4,"")</f>
        <v>121553.49366786901</v>
      </c>
      <c r="U24" s="434">
        <f ca="1">IF(U$4&lt;=$C$25,SUM($H$24,'Master Tab'!$F$7)*(1+$C$21)^U$4,"")</f>
        <v>125503.98221207476</v>
      </c>
      <c r="V24" s="434">
        <f ca="1">IF(V$4&lt;=$C$25,SUM($H$24,'Master Tab'!$F$7)*(1+$C$21)^V$4,"")</f>
        <v>129582.86163396717</v>
      </c>
      <c r="W24" s="434">
        <f ca="1">IF(W$4&lt;=$C$25,SUM($H$24,'Master Tab'!$F$7)*(1+$C$21)^W$4,"")</f>
        <v>133794.30463707109</v>
      </c>
      <c r="X24" s="434">
        <f ca="1">IF(X$4&lt;=$C$25,SUM($H$24,'Master Tab'!$F$7)*(1+$C$21)^X$4,"")</f>
        <v>138142.6195377759</v>
      </c>
      <c r="Y24" s="434" t="str">
        <f>IF(Y$4&lt;=$C$25,SUM($H$24,'Master Tab'!$F$7)*(1+$C$21)^Y$4,"")</f>
        <v/>
      </c>
      <c r="Z24" s="434" t="str">
        <f>IF(Z$4&lt;=$C$25,SUM($H$24,'Master Tab'!$F$7)*(1+$C$21)^Z$4,"")</f>
        <v/>
      </c>
      <c r="AA24" s="434" t="str">
        <f>IF(AA$4&lt;=$C$25,SUM($H$24,'Master Tab'!$F$7)*(1+$C$21)^AA$4,"")</f>
        <v/>
      </c>
      <c r="AB24" s="434" t="str">
        <f>IF(AB$4&lt;=$C$25,SUM($H$24,'Master Tab'!$F$7)*(1+$C$21)^AB$4,"")</f>
        <v/>
      </c>
      <c r="AC24" s="229"/>
      <c r="AD24" s="229"/>
    </row>
    <row r="25" spans="1:30" ht="15">
      <c r="A25" s="29" t="s">
        <v>367</v>
      </c>
      <c r="B25"/>
      <c r="C25" s="117">
        <v>15</v>
      </c>
      <c r="E25" s="29"/>
      <c r="F25" s="213" t="s">
        <v>331</v>
      </c>
      <c r="G25" s="433">
        <v>18497760.761283305</v>
      </c>
      <c r="H25" s="433">
        <v>19939973.739043184</v>
      </c>
      <c r="I25" s="434">
        <f t="shared" ref="I25:AB25" si="7">IF(I$4&lt;=$C$25,$H$25*(1+$C$34)^I$4,"")</f>
        <v>19939973.739043184</v>
      </c>
      <c r="J25" s="434">
        <f t="shared" si="7"/>
        <v>20737572.68860491</v>
      </c>
      <c r="K25" s="434">
        <f t="shared" si="7"/>
        <v>21567075.596149109</v>
      </c>
      <c r="L25" s="434">
        <f t="shared" si="7"/>
        <v>22429758.619995072</v>
      </c>
      <c r="M25" s="434">
        <f t="shared" si="7"/>
        <v>23326948.964794878</v>
      </c>
      <c r="N25" s="434">
        <f t="shared" si="7"/>
        <v>24260026.923386678</v>
      </c>
      <c r="O25" s="434">
        <f t="shared" si="7"/>
        <v>25230428.000322144</v>
      </c>
      <c r="P25" s="434">
        <f t="shared" si="7"/>
        <v>26239645.120335028</v>
      </c>
      <c r="Q25" s="434">
        <f t="shared" si="7"/>
        <v>27289230.925148431</v>
      </c>
      <c r="R25" s="434">
        <f t="shared" si="7"/>
        <v>28380800.162154373</v>
      </c>
      <c r="S25" s="434">
        <f t="shared" si="7"/>
        <v>29516032.168640547</v>
      </c>
      <c r="T25" s="434">
        <f t="shared" si="7"/>
        <v>30696673.455386166</v>
      </c>
      <c r="U25" s="434">
        <f t="shared" si="7"/>
        <v>31924540.393601619</v>
      </c>
      <c r="V25" s="434">
        <f t="shared" si="7"/>
        <v>33201522.009345688</v>
      </c>
      <c r="W25" s="434">
        <f t="shared" si="7"/>
        <v>34529582.889719516</v>
      </c>
      <c r="X25" s="434">
        <f t="shared" si="7"/>
        <v>35910766.205308296</v>
      </c>
      <c r="Y25" s="434" t="str">
        <f t="shared" si="7"/>
        <v/>
      </c>
      <c r="Z25" s="434" t="str">
        <f t="shared" si="7"/>
        <v/>
      </c>
      <c r="AA25" s="434" t="str">
        <f t="shared" si="7"/>
        <v/>
      </c>
      <c r="AB25" s="434" t="str">
        <f t="shared" si="7"/>
        <v/>
      </c>
      <c r="AC25" s="229"/>
      <c r="AD25" s="229"/>
    </row>
    <row r="26" spans="1:30" ht="15">
      <c r="A26" s="29" t="s">
        <v>256</v>
      </c>
      <c r="B26"/>
      <c r="C26" s="117">
        <v>0</v>
      </c>
      <c r="E26" s="29"/>
      <c r="F26" s="29" t="s">
        <v>8</v>
      </c>
      <c r="G26" s="435">
        <f t="shared" ref="G26:AB26" si="8">IF(G$4&lt;=$C$25,SUM(G24:G25),"")</f>
        <v>18500660.501283303</v>
      </c>
      <c r="H26" s="435">
        <f t="shared" si="8"/>
        <v>20019189.099043183</v>
      </c>
      <c r="I26" s="435">
        <f t="shared" ca="1" si="8"/>
        <v>20025475.839176629</v>
      </c>
      <c r="J26" s="435">
        <f t="shared" ca="1" si="8"/>
        <v>20825853.606992692</v>
      </c>
      <c r="K26" s="435">
        <f t="shared" ca="1" si="8"/>
        <v>21658225.644384496</v>
      </c>
      <c r="L26" s="435">
        <f t="shared" ca="1" si="8"/>
        <v>22523871.044798106</v>
      </c>
      <c r="M26" s="435">
        <f t="shared" ca="1" si="8"/>
        <v>23424120.043404013</v>
      </c>
      <c r="N26" s="435">
        <f t="shared" ca="1" si="8"/>
        <v>24360356.062050607</v>
      </c>
      <c r="O26" s="435">
        <f t="shared" ca="1" si="8"/>
        <v>25334017.835992653</v>
      </c>
      <c r="P26" s="435">
        <f t="shared" ca="1" si="8"/>
        <v>26346601.625664826</v>
      </c>
      <c r="Q26" s="435">
        <f t="shared" ca="1" si="8"/>
        <v>27399663.516901448</v>
      </c>
      <c r="R26" s="435">
        <f t="shared" ca="1" si="8"/>
        <v>28494821.813139364</v>
      </c>
      <c r="S26" s="435">
        <f t="shared" ca="1" si="8"/>
        <v>29633759.52328255</v>
      </c>
      <c r="T26" s="435">
        <f t="shared" ca="1" si="8"/>
        <v>30818226.949054036</v>
      </c>
      <c r="U26" s="435">
        <f t="shared" ca="1" si="8"/>
        <v>32050044.375813693</v>
      </c>
      <c r="V26" s="435">
        <f t="shared" ca="1" si="8"/>
        <v>33331104.870979656</v>
      </c>
      <c r="W26" s="435">
        <f t="shared" ca="1" si="8"/>
        <v>34663377.194356591</v>
      </c>
      <c r="X26" s="435">
        <f t="shared" ca="1" si="8"/>
        <v>36048908.824846074</v>
      </c>
      <c r="Y26" s="435" t="str">
        <f t="shared" si="8"/>
        <v/>
      </c>
      <c r="Z26" s="435" t="str">
        <f t="shared" si="8"/>
        <v/>
      </c>
      <c r="AA26" s="435" t="str">
        <f t="shared" si="8"/>
        <v/>
      </c>
      <c r="AB26" s="435" t="str">
        <f t="shared" si="8"/>
        <v/>
      </c>
      <c r="AC26" s="215"/>
      <c r="AD26" s="215"/>
    </row>
    <row r="27" spans="1:30" ht="15">
      <c r="A27" s="29" t="s">
        <v>358</v>
      </c>
      <c r="B27"/>
      <c r="C27" s="425">
        <f ca="1">('Master Tab'!$F$6-C26)/C25</f>
        <v>115192.20507692308</v>
      </c>
      <c r="E27" s="29"/>
      <c r="F27" s="29"/>
      <c r="G27" s="435"/>
      <c r="H27" s="435"/>
      <c r="I27" s="435"/>
      <c r="J27" s="435"/>
      <c r="K27" s="435"/>
      <c r="L27" s="435"/>
      <c r="M27" s="435"/>
      <c r="N27" s="435"/>
      <c r="O27" s="435"/>
      <c r="P27" s="435"/>
      <c r="Q27" s="435"/>
      <c r="R27" s="435"/>
      <c r="S27" s="435"/>
      <c r="T27" s="435"/>
      <c r="U27" s="435"/>
      <c r="V27" s="435"/>
      <c r="W27" s="435"/>
      <c r="X27" s="435"/>
      <c r="Y27" s="435"/>
      <c r="Z27" s="435"/>
      <c r="AA27" s="435"/>
      <c r="AB27" s="435"/>
      <c r="AC27" s="215"/>
      <c r="AD27" s="215"/>
    </row>
    <row r="28" spans="1:30" ht="15">
      <c r="A28" s="29" t="s">
        <v>366</v>
      </c>
      <c r="B28"/>
      <c r="C28" s="117">
        <f>IF($C$13="Best Case",20,IF($C$13="Most Likely Case",15,10))</f>
        <v>15</v>
      </c>
      <c r="E28" s="29"/>
      <c r="F28" s="29" t="s">
        <v>339</v>
      </c>
      <c r="G28" s="435">
        <v>21306.75</v>
      </c>
      <c r="H28" s="435">
        <v>65901.989999999991</v>
      </c>
      <c r="I28" s="435">
        <f t="shared" ref="I28:AB28" si="9">IF(I$4&lt;=$C$25,$H$28*(1+$C$33)^I$4,"")</f>
        <v>65901.989999999991</v>
      </c>
      <c r="J28" s="435">
        <f t="shared" si="9"/>
        <v>69197.089499999987</v>
      </c>
      <c r="K28" s="435">
        <f t="shared" si="9"/>
        <v>72656.943974999987</v>
      </c>
      <c r="L28" s="435">
        <f t="shared" si="9"/>
        <v>76289.791173749996</v>
      </c>
      <c r="M28" s="435">
        <f t="shared" si="9"/>
        <v>80104.280732437488</v>
      </c>
      <c r="N28" s="435">
        <f t="shared" si="9"/>
        <v>84109.494769059369</v>
      </c>
      <c r="O28" s="435">
        <f t="shared" si="9"/>
        <v>88314.969507512331</v>
      </c>
      <c r="P28" s="435">
        <f t="shared" si="9"/>
        <v>92730.71798288796</v>
      </c>
      <c r="Q28" s="435">
        <f t="shared" si="9"/>
        <v>97367.253882032353</v>
      </c>
      <c r="R28" s="435">
        <f t="shared" si="9"/>
        <v>102235.61657613398</v>
      </c>
      <c r="S28" s="435">
        <f t="shared" si="9"/>
        <v>107347.39740494067</v>
      </c>
      <c r="T28" s="435">
        <f t="shared" si="9"/>
        <v>112714.76727518771</v>
      </c>
      <c r="U28" s="435">
        <f t="shared" si="9"/>
        <v>118350.50563894708</v>
      </c>
      <c r="V28" s="435">
        <f t="shared" si="9"/>
        <v>124268.03092089445</v>
      </c>
      <c r="W28" s="435">
        <f t="shared" si="9"/>
        <v>130481.43246693915</v>
      </c>
      <c r="X28" s="435">
        <f t="shared" si="9"/>
        <v>137005.50409028615</v>
      </c>
      <c r="Y28" s="435" t="str">
        <f t="shared" si="9"/>
        <v/>
      </c>
      <c r="Z28" s="435" t="str">
        <f t="shared" si="9"/>
        <v/>
      </c>
      <c r="AA28" s="435" t="str">
        <f t="shared" si="9"/>
        <v/>
      </c>
      <c r="AB28" s="435" t="str">
        <f t="shared" si="9"/>
        <v/>
      </c>
      <c r="AC28" s="215"/>
      <c r="AD28" s="215"/>
    </row>
    <row r="29" spans="1:30" ht="15">
      <c r="A29" s="29" t="s">
        <v>365</v>
      </c>
      <c r="B29"/>
      <c r="C29" s="284">
        <f ca="1">MAX((C25-C28)*C27,0)</f>
        <v>0</v>
      </c>
      <c r="E29" s="29"/>
      <c r="F29" s="29"/>
      <c r="G29" s="435"/>
      <c r="H29" s="435"/>
      <c r="I29" s="435"/>
      <c r="J29" s="435"/>
      <c r="K29" s="435"/>
      <c r="L29" s="435"/>
      <c r="M29" s="435"/>
      <c r="N29" s="435"/>
      <c r="O29" s="435"/>
      <c r="P29" s="435"/>
      <c r="Q29" s="435"/>
      <c r="R29" s="435"/>
      <c r="S29" s="435"/>
      <c r="T29" s="435"/>
      <c r="U29" s="435"/>
      <c r="V29" s="435"/>
      <c r="W29" s="435"/>
      <c r="X29" s="435"/>
      <c r="Y29" s="435"/>
      <c r="Z29" s="435"/>
      <c r="AA29" s="435"/>
      <c r="AB29" s="435"/>
      <c r="AC29" s="215"/>
      <c r="AD29" s="215"/>
    </row>
    <row r="30" spans="1:30" ht="15">
      <c r="A30" s="29"/>
      <c r="B30" s="29"/>
      <c r="C30" s="118"/>
      <c r="E30" s="29"/>
      <c r="F30" s="221" t="s">
        <v>245</v>
      </c>
      <c r="G30" s="437">
        <f>IF(G$4&lt;=$C$25,G22-G26-G28,"")</f>
        <v>10985892.578716591</v>
      </c>
      <c r="H30" s="437">
        <f t="shared" ref="H30:AB30" si="10">IF(H$4&lt;=$C$25,H22-H26-H28,"")</f>
        <v>15153760.59869446</v>
      </c>
      <c r="I30" s="437">
        <f t="shared" ca="1" si="10"/>
        <v>15222162.546254879</v>
      </c>
      <c r="J30" s="437">
        <f t="shared" ca="1" si="10"/>
        <v>16201791.319483886</v>
      </c>
      <c r="K30" s="437">
        <f t="shared" ca="1" si="10"/>
        <v>17238998.950396992</v>
      </c>
      <c r="L30" s="437">
        <f t="shared" ca="1" si="10"/>
        <v>18337003.617917933</v>
      </c>
      <c r="M30" s="437">
        <f t="shared" ca="1" si="10"/>
        <v>19499197.8278846</v>
      </c>
      <c r="N30" s="437">
        <f t="shared" ca="1" si="10"/>
        <v>20729157.661190998</v>
      </c>
      <c r="O30" s="437">
        <f t="shared" ca="1" si="10"/>
        <v>22030652.505447194</v>
      </c>
      <c r="P30" s="437">
        <f t="shared" ca="1" si="10"/>
        <v>23407655.295174245</v>
      </c>
      <c r="Q30" s="437">
        <f t="shared" ca="1" si="10"/>
        <v>24864353.286832634</v>
      </c>
      <c r="R30" s="437">
        <f t="shared" ca="1" si="10"/>
        <v>26405159.3963321</v>
      </c>
      <c r="S30" s="437">
        <f t="shared" ca="1" si="10"/>
        <v>28034724.128093489</v>
      </c>
      <c r="T30" s="437">
        <f t="shared" ca="1" si="10"/>
        <v>29757948.126218431</v>
      </c>
      <c r="U30" s="437">
        <f t="shared" ca="1" si="10"/>
        <v>31579995.379893105</v>
      </c>
      <c r="V30" s="437">
        <f t="shared" ca="1" si="10"/>
        <v>33506307.116800055</v>
      </c>
      <c r="W30" s="437">
        <f t="shared" ca="1" si="10"/>
        <v>35542616.420038834</v>
      </c>
      <c r="X30" s="437">
        <f t="shared" ca="1" si="10"/>
        <v>37694963.605880953</v>
      </c>
      <c r="Y30" s="437" t="str">
        <f t="shared" si="10"/>
        <v/>
      </c>
      <c r="Z30" s="437" t="str">
        <f t="shared" si="10"/>
        <v/>
      </c>
      <c r="AA30" s="437" t="str">
        <f t="shared" si="10"/>
        <v/>
      </c>
      <c r="AB30" s="437" t="str">
        <f t="shared" si="10"/>
        <v/>
      </c>
      <c r="AC30" s="234"/>
      <c r="AD30" s="234"/>
    </row>
    <row r="31" spans="1:30" ht="15">
      <c r="A31" s="29"/>
      <c r="B31"/>
      <c r="C31" s="117"/>
      <c r="E31" s="29"/>
      <c r="F31" s="29"/>
      <c r="G31" s="434"/>
      <c r="H31" s="434"/>
      <c r="I31" s="434"/>
      <c r="J31" s="434"/>
      <c r="K31" s="434"/>
      <c r="L31" s="434"/>
      <c r="M31" s="434"/>
      <c r="N31" s="434"/>
      <c r="O31" s="434"/>
      <c r="P31" s="434"/>
      <c r="Q31" s="434"/>
      <c r="R31" s="434"/>
      <c r="S31" s="434"/>
      <c r="T31" s="434"/>
      <c r="U31" s="434"/>
      <c r="V31" s="434"/>
      <c r="W31" s="434"/>
      <c r="X31" s="434"/>
      <c r="Y31" s="434"/>
      <c r="Z31" s="434"/>
      <c r="AA31" s="434"/>
      <c r="AB31" s="434"/>
      <c r="AC31" s="216"/>
      <c r="AD31" s="216"/>
    </row>
    <row r="32" spans="1:30" ht="15.75" thickBot="1">
      <c r="A32" s="46" t="s">
        <v>357</v>
      </c>
      <c r="B32" s="32"/>
      <c r="C32" s="32"/>
      <c r="E32" s="29"/>
      <c r="F32" s="213" t="s">
        <v>340</v>
      </c>
      <c r="G32" s="433">
        <v>3407724.78</v>
      </c>
      <c r="H32" s="433">
        <v>3407724.78</v>
      </c>
      <c r="I32" s="434">
        <f t="shared" ref="I32:AB32" si="11">IF(I$4&lt;=$C$25,$H$32,"")</f>
        <v>3407724.78</v>
      </c>
      <c r="J32" s="434">
        <f t="shared" si="11"/>
        <v>3407724.78</v>
      </c>
      <c r="K32" s="434">
        <f t="shared" si="11"/>
        <v>3407724.78</v>
      </c>
      <c r="L32" s="434">
        <f t="shared" si="11"/>
        <v>3407724.78</v>
      </c>
      <c r="M32" s="434">
        <f t="shared" si="11"/>
        <v>3407724.78</v>
      </c>
      <c r="N32" s="434">
        <f t="shared" si="11"/>
        <v>3407724.78</v>
      </c>
      <c r="O32" s="434">
        <f t="shared" si="11"/>
        <v>3407724.78</v>
      </c>
      <c r="P32" s="434">
        <f t="shared" si="11"/>
        <v>3407724.78</v>
      </c>
      <c r="Q32" s="434">
        <f t="shared" si="11"/>
        <v>3407724.78</v>
      </c>
      <c r="R32" s="434">
        <f t="shared" si="11"/>
        <v>3407724.78</v>
      </c>
      <c r="S32" s="434">
        <f t="shared" si="11"/>
        <v>3407724.78</v>
      </c>
      <c r="T32" s="434">
        <f t="shared" si="11"/>
        <v>3407724.78</v>
      </c>
      <c r="U32" s="434">
        <f t="shared" si="11"/>
        <v>3407724.78</v>
      </c>
      <c r="V32" s="434">
        <f t="shared" si="11"/>
        <v>3407724.78</v>
      </c>
      <c r="W32" s="434">
        <f t="shared" si="11"/>
        <v>3407724.78</v>
      </c>
      <c r="X32" s="434">
        <f t="shared" si="11"/>
        <v>3407724.78</v>
      </c>
      <c r="Y32" s="434" t="str">
        <f t="shared" si="11"/>
        <v/>
      </c>
      <c r="Z32" s="434" t="str">
        <f t="shared" si="11"/>
        <v/>
      </c>
      <c r="AA32" s="434" t="str">
        <f t="shared" si="11"/>
        <v/>
      </c>
      <c r="AB32" s="434" t="str">
        <f t="shared" si="11"/>
        <v/>
      </c>
      <c r="AC32" s="229"/>
      <c r="AD32" s="229"/>
    </row>
    <row r="33" spans="1:30" ht="15">
      <c r="A33" s="256" t="s">
        <v>359</v>
      </c>
      <c r="B33"/>
      <c r="C33" s="303">
        <v>0.05</v>
      </c>
      <c r="E33" s="29"/>
      <c r="F33" s="213" t="s">
        <v>254</v>
      </c>
      <c r="G33" s="433">
        <v>403279.41</v>
      </c>
      <c r="H33" s="433">
        <v>340123.65</v>
      </c>
      <c r="I33" s="434">
        <f t="shared" ref="I33:AB33" ca="1" si="12">IF(I$4&lt;=$C$25,IF(I$4&lt;=$C$28,$H$33+$C$27,$H$33),"")</f>
        <v>455315.85507692309</v>
      </c>
      <c r="J33" s="434">
        <f t="shared" ca="1" si="12"/>
        <v>455315.85507692309</v>
      </c>
      <c r="K33" s="434">
        <f t="shared" ca="1" si="12"/>
        <v>455315.85507692309</v>
      </c>
      <c r="L33" s="434">
        <f t="shared" ca="1" si="12"/>
        <v>455315.85507692309</v>
      </c>
      <c r="M33" s="434">
        <f t="shared" ca="1" si="12"/>
        <v>455315.85507692309</v>
      </c>
      <c r="N33" s="434">
        <f t="shared" ca="1" si="12"/>
        <v>455315.85507692309</v>
      </c>
      <c r="O33" s="434">
        <f t="shared" ca="1" si="12"/>
        <v>455315.85507692309</v>
      </c>
      <c r="P33" s="434">
        <f t="shared" ca="1" si="12"/>
        <v>455315.85507692309</v>
      </c>
      <c r="Q33" s="434">
        <f t="shared" ca="1" si="12"/>
        <v>455315.85507692309</v>
      </c>
      <c r="R33" s="434">
        <f t="shared" ca="1" si="12"/>
        <v>455315.85507692309</v>
      </c>
      <c r="S33" s="434">
        <f t="shared" ca="1" si="12"/>
        <v>455315.85507692309</v>
      </c>
      <c r="T33" s="434">
        <f t="shared" ca="1" si="12"/>
        <v>455315.85507692309</v>
      </c>
      <c r="U33" s="434">
        <f t="shared" ca="1" si="12"/>
        <v>455315.85507692309</v>
      </c>
      <c r="V33" s="434">
        <f t="shared" ca="1" si="12"/>
        <v>455315.85507692309</v>
      </c>
      <c r="W33" s="434">
        <f t="shared" ca="1" si="12"/>
        <v>455315.85507692309</v>
      </c>
      <c r="X33" s="434">
        <f t="shared" ca="1" si="12"/>
        <v>455315.85507692309</v>
      </c>
      <c r="Y33" s="434" t="str">
        <f t="shared" si="12"/>
        <v/>
      </c>
      <c r="Z33" s="434" t="str">
        <f t="shared" si="12"/>
        <v/>
      </c>
      <c r="AA33" s="434" t="str">
        <f t="shared" si="12"/>
        <v/>
      </c>
      <c r="AB33" s="434" t="str">
        <f t="shared" si="12"/>
        <v/>
      </c>
      <c r="AC33" s="229"/>
      <c r="AD33" s="229"/>
    </row>
    <row r="34" spans="1:30" ht="15">
      <c r="A34" s="29" t="s">
        <v>436</v>
      </c>
      <c r="B34"/>
      <c r="C34" s="235">
        <v>0.04</v>
      </c>
      <c r="E34" s="29"/>
      <c r="F34" s="213" t="s">
        <v>384</v>
      </c>
      <c r="G34" s="433">
        <f t="shared" ref="G34:AB34" si="13">IF(G$4&lt;=$C$25,IF(G$4=$C$28,$C$29,0),"")</f>
        <v>0</v>
      </c>
      <c r="H34" s="433">
        <f t="shared" si="13"/>
        <v>0</v>
      </c>
      <c r="I34" s="434">
        <f t="shared" si="13"/>
        <v>0</v>
      </c>
      <c r="J34" s="434">
        <f t="shared" si="13"/>
        <v>0</v>
      </c>
      <c r="K34" s="434">
        <f t="shared" si="13"/>
        <v>0</v>
      </c>
      <c r="L34" s="434">
        <f t="shared" si="13"/>
        <v>0</v>
      </c>
      <c r="M34" s="434">
        <f t="shared" si="13"/>
        <v>0</v>
      </c>
      <c r="N34" s="434">
        <f t="shared" si="13"/>
        <v>0</v>
      </c>
      <c r="O34" s="434">
        <f t="shared" si="13"/>
        <v>0</v>
      </c>
      <c r="P34" s="434">
        <f t="shared" si="13"/>
        <v>0</v>
      </c>
      <c r="Q34" s="434">
        <f t="shared" si="13"/>
        <v>0</v>
      </c>
      <c r="R34" s="434">
        <f t="shared" si="13"/>
        <v>0</v>
      </c>
      <c r="S34" s="434">
        <f t="shared" si="13"/>
        <v>0</v>
      </c>
      <c r="T34" s="434">
        <f t="shared" si="13"/>
        <v>0</v>
      </c>
      <c r="U34" s="434">
        <f t="shared" si="13"/>
        <v>0</v>
      </c>
      <c r="V34" s="434">
        <f t="shared" si="13"/>
        <v>0</v>
      </c>
      <c r="W34" s="434">
        <f t="shared" si="13"/>
        <v>0</v>
      </c>
      <c r="X34" s="434">
        <f t="shared" ca="1" si="13"/>
        <v>0</v>
      </c>
      <c r="Y34" s="434" t="str">
        <f t="shared" si="13"/>
        <v/>
      </c>
      <c r="Z34" s="434" t="str">
        <f t="shared" si="13"/>
        <v/>
      </c>
      <c r="AA34" s="434" t="str">
        <f t="shared" si="13"/>
        <v/>
      </c>
      <c r="AB34" s="434" t="str">
        <f t="shared" si="13"/>
        <v/>
      </c>
      <c r="AC34" s="229"/>
      <c r="AD34" s="229"/>
    </row>
    <row r="35" spans="1:30" ht="15">
      <c r="A35" s="29"/>
      <c r="B35"/>
      <c r="C35" s="392"/>
      <c r="E35" s="29"/>
      <c r="F35" s="29" t="s">
        <v>8</v>
      </c>
      <c r="G35" s="435">
        <f t="shared" ref="G35:AB35" si="14">IF(G$4&lt;=$C$25,SUM(G32:G34),"")</f>
        <v>3811004.19</v>
      </c>
      <c r="H35" s="435">
        <f t="shared" si="14"/>
        <v>3747848.4299999997</v>
      </c>
      <c r="I35" s="435">
        <f t="shared" ca="1" si="14"/>
        <v>3863040.6350769228</v>
      </c>
      <c r="J35" s="435">
        <f t="shared" ca="1" si="14"/>
        <v>3863040.6350769228</v>
      </c>
      <c r="K35" s="435">
        <f t="shared" ca="1" si="14"/>
        <v>3863040.6350769228</v>
      </c>
      <c r="L35" s="435">
        <f t="shared" ca="1" si="14"/>
        <v>3863040.6350769228</v>
      </c>
      <c r="M35" s="435">
        <f t="shared" ca="1" si="14"/>
        <v>3863040.6350769228</v>
      </c>
      <c r="N35" s="435">
        <f t="shared" ca="1" si="14"/>
        <v>3863040.6350769228</v>
      </c>
      <c r="O35" s="435">
        <f t="shared" ca="1" si="14"/>
        <v>3863040.6350769228</v>
      </c>
      <c r="P35" s="435">
        <f t="shared" ca="1" si="14"/>
        <v>3863040.6350769228</v>
      </c>
      <c r="Q35" s="435">
        <f t="shared" ca="1" si="14"/>
        <v>3863040.6350769228</v>
      </c>
      <c r="R35" s="435">
        <f t="shared" ca="1" si="14"/>
        <v>3863040.6350769228</v>
      </c>
      <c r="S35" s="435">
        <f t="shared" ca="1" si="14"/>
        <v>3863040.6350769228</v>
      </c>
      <c r="T35" s="435">
        <f t="shared" ca="1" si="14"/>
        <v>3863040.6350769228</v>
      </c>
      <c r="U35" s="435">
        <f t="shared" ca="1" si="14"/>
        <v>3863040.6350769228</v>
      </c>
      <c r="V35" s="435">
        <f t="shared" ca="1" si="14"/>
        <v>3863040.6350769228</v>
      </c>
      <c r="W35" s="435">
        <f t="shared" ca="1" si="14"/>
        <v>3863040.6350769228</v>
      </c>
      <c r="X35" s="435">
        <f t="shared" ca="1" si="14"/>
        <v>3863040.6350769228</v>
      </c>
      <c r="Y35" s="435" t="str">
        <f t="shared" si="14"/>
        <v/>
      </c>
      <c r="Z35" s="435" t="str">
        <f t="shared" si="14"/>
        <v/>
      </c>
      <c r="AA35" s="435" t="str">
        <f t="shared" si="14"/>
        <v/>
      </c>
      <c r="AB35" s="435" t="str">
        <f t="shared" si="14"/>
        <v/>
      </c>
      <c r="AC35" s="215"/>
      <c r="AD35" s="215"/>
    </row>
    <row r="36" spans="1:30" ht="15">
      <c r="A36" s="258"/>
      <c r="B36"/>
      <c r="C36" s="235"/>
      <c r="E36" s="29"/>
      <c r="F36" s="29"/>
      <c r="G36" s="434"/>
      <c r="H36" s="434"/>
      <c r="I36" s="434"/>
      <c r="J36" s="434"/>
      <c r="K36" s="434"/>
      <c r="L36" s="434"/>
      <c r="M36" s="434"/>
      <c r="N36" s="434"/>
      <c r="O36" s="434"/>
      <c r="P36" s="434"/>
      <c r="Q36" s="434"/>
      <c r="R36" s="434"/>
      <c r="S36" s="434"/>
      <c r="T36" s="434"/>
      <c r="U36" s="434"/>
      <c r="V36" s="434"/>
      <c r="W36" s="434"/>
      <c r="X36" s="434"/>
      <c r="Y36" s="434"/>
      <c r="Z36" s="434"/>
      <c r="AA36" s="434"/>
      <c r="AB36" s="434"/>
      <c r="AC36" s="216"/>
      <c r="AD36" s="216"/>
    </row>
    <row r="37" spans="1:30" ht="15">
      <c r="A37" s="256" t="s">
        <v>434</v>
      </c>
      <c r="B37"/>
      <c r="C37" s="118">
        <v>0.85</v>
      </c>
      <c r="E37" s="29"/>
      <c r="F37" s="217" t="s">
        <v>251</v>
      </c>
      <c r="G37" s="436">
        <f>G30-G35</f>
        <v>7174888.3887165915</v>
      </c>
      <c r="H37" s="436">
        <f>H30-H35</f>
        <v>11405912.168694461</v>
      </c>
      <c r="I37" s="436">
        <f t="shared" ref="I37:AB37" ca="1" si="15">IF(I$4&lt;=$C$25,I30-I35,"")</f>
        <v>11359121.911177956</v>
      </c>
      <c r="J37" s="436">
        <f t="shared" ca="1" si="15"/>
        <v>12338750.684406962</v>
      </c>
      <c r="K37" s="436">
        <f t="shared" ca="1" si="15"/>
        <v>13375958.315320069</v>
      </c>
      <c r="L37" s="436">
        <f t="shared" ca="1" si="15"/>
        <v>14473962.982841009</v>
      </c>
      <c r="M37" s="436">
        <f t="shared" ca="1" si="15"/>
        <v>15636157.192807676</v>
      </c>
      <c r="N37" s="436">
        <f t="shared" ca="1" si="15"/>
        <v>16866117.026114076</v>
      </c>
      <c r="O37" s="436">
        <f t="shared" ca="1" si="15"/>
        <v>18167611.870370273</v>
      </c>
      <c r="P37" s="436">
        <f t="shared" ca="1" si="15"/>
        <v>19544614.660097323</v>
      </c>
      <c r="Q37" s="436">
        <f t="shared" ca="1" si="15"/>
        <v>21001312.651755713</v>
      </c>
      <c r="R37" s="436">
        <f t="shared" ca="1" si="15"/>
        <v>22542118.761255179</v>
      </c>
      <c r="S37" s="436">
        <f t="shared" ca="1" si="15"/>
        <v>24171683.493016567</v>
      </c>
      <c r="T37" s="436">
        <f t="shared" ca="1" si="15"/>
        <v>25894907.491141509</v>
      </c>
      <c r="U37" s="436">
        <f t="shared" ca="1" si="15"/>
        <v>27716954.744816184</v>
      </c>
      <c r="V37" s="436">
        <f t="shared" ca="1" si="15"/>
        <v>29643266.481723133</v>
      </c>
      <c r="W37" s="436">
        <f t="shared" ca="1" si="15"/>
        <v>31679575.784961913</v>
      </c>
      <c r="X37" s="436">
        <f t="shared" ca="1" si="15"/>
        <v>33831922.970804028</v>
      </c>
      <c r="Y37" s="436" t="str">
        <f t="shared" si="15"/>
        <v/>
      </c>
      <c r="Z37" s="436" t="str">
        <f t="shared" si="15"/>
        <v/>
      </c>
      <c r="AA37" s="436" t="str">
        <f t="shared" si="15"/>
        <v/>
      </c>
      <c r="AB37" s="436" t="str">
        <f t="shared" si="15"/>
        <v/>
      </c>
      <c r="AC37" s="232"/>
      <c r="AD37" s="232"/>
    </row>
    <row r="38" spans="1:30" ht="15">
      <c r="A38" s="29" t="s">
        <v>523</v>
      </c>
      <c r="B38"/>
      <c r="C38" s="421">
        <f ca="1">'Master Tab'!I21*C37</f>
        <v>254067.76410706469</v>
      </c>
      <c r="E38" s="29"/>
      <c r="F38" s="29"/>
      <c r="G38" s="434"/>
      <c r="H38" s="434"/>
      <c r="I38" s="434"/>
      <c r="J38" s="434"/>
      <c r="K38" s="434"/>
      <c r="L38" s="434"/>
      <c r="M38" s="434"/>
      <c r="N38" s="434"/>
      <c r="O38" s="434"/>
      <c r="P38" s="434"/>
      <c r="Q38" s="434"/>
      <c r="R38" s="434"/>
      <c r="S38" s="434"/>
      <c r="T38" s="434"/>
      <c r="U38" s="434"/>
      <c r="V38" s="434"/>
      <c r="W38" s="434"/>
      <c r="X38" s="434"/>
      <c r="Y38" s="434"/>
      <c r="Z38" s="434"/>
      <c r="AA38" s="434"/>
      <c r="AB38" s="434"/>
      <c r="AC38" s="29"/>
      <c r="AD38" s="29"/>
    </row>
    <row r="39" spans="1:30" ht="15">
      <c r="A39" s="29"/>
      <c r="B39"/>
      <c r="C39" s="64"/>
      <c r="E39" s="29"/>
      <c r="F39" s="29" t="s">
        <v>348</v>
      </c>
      <c r="G39" s="433">
        <v>1612591.77</v>
      </c>
      <c r="H39" s="433">
        <v>626098.06999999995</v>
      </c>
      <c r="I39" s="434">
        <f>IF(I$4&lt;=$C$25,$H$39*(1+$C$33)^I$4,"")</f>
        <v>626098.06999999995</v>
      </c>
      <c r="J39" s="434">
        <f>IF(J$4&lt;=$C$25,$H$39*(1+$C$33)^J$4,"")</f>
        <v>657402.97349999996</v>
      </c>
      <c r="K39" s="434">
        <f t="shared" ref="K39:AC39" si="16">IF(K$4&lt;=$C$25,$H$39*(1+$C$33)^K$4,"")</f>
        <v>690273.12217499991</v>
      </c>
      <c r="L39" s="434">
        <f t="shared" si="16"/>
        <v>724786.77828375006</v>
      </c>
      <c r="M39" s="434">
        <f t="shared" si="16"/>
        <v>761026.11719793745</v>
      </c>
      <c r="N39" s="434">
        <f t="shared" si="16"/>
        <v>799077.42305783438</v>
      </c>
      <c r="O39" s="434">
        <f t="shared" si="16"/>
        <v>839031.29421072605</v>
      </c>
      <c r="P39" s="434">
        <f t="shared" si="16"/>
        <v>880982.85892126244</v>
      </c>
      <c r="Q39" s="434">
        <f t="shared" si="16"/>
        <v>925032.00186732551</v>
      </c>
      <c r="R39" s="434">
        <f t="shared" si="16"/>
        <v>971283.60196069186</v>
      </c>
      <c r="S39" s="434">
        <f t="shared" si="16"/>
        <v>1019847.7820587264</v>
      </c>
      <c r="T39" s="434">
        <f t="shared" si="16"/>
        <v>1070840.1711616628</v>
      </c>
      <c r="U39" s="434">
        <f t="shared" si="16"/>
        <v>1124382.1797197459</v>
      </c>
      <c r="V39" s="434">
        <f t="shared" si="16"/>
        <v>1180601.2887057334</v>
      </c>
      <c r="W39" s="434">
        <f t="shared" si="16"/>
        <v>1239631.3531410196</v>
      </c>
      <c r="X39" s="434">
        <f t="shared" si="16"/>
        <v>1301612.920798071</v>
      </c>
      <c r="Y39" s="434" t="str">
        <f t="shared" si="16"/>
        <v/>
      </c>
      <c r="Z39" s="434" t="str">
        <f t="shared" si="16"/>
        <v/>
      </c>
      <c r="AA39" s="434" t="str">
        <f t="shared" si="16"/>
        <v/>
      </c>
      <c r="AB39" s="434" t="str">
        <f t="shared" si="16"/>
        <v/>
      </c>
      <c r="AC39" s="229" t="str">
        <f t="shared" si="16"/>
        <v/>
      </c>
      <c r="AD39" s="229"/>
    </row>
    <row r="40" spans="1:30" ht="15">
      <c r="A40" s="29"/>
      <c r="B40"/>
      <c r="C40"/>
      <c r="E40" s="29"/>
      <c r="F40" s="29"/>
      <c r="G40" s="252"/>
      <c r="H40" s="252"/>
      <c r="I40" s="229"/>
      <c r="J40" s="229"/>
      <c r="K40" s="229"/>
      <c r="L40" s="229"/>
      <c r="M40" s="229"/>
      <c r="N40" s="229"/>
      <c r="O40" s="229"/>
      <c r="P40" s="229"/>
      <c r="Q40" s="229"/>
      <c r="R40" s="229"/>
      <c r="S40" s="229"/>
      <c r="T40" s="229"/>
      <c r="U40" s="229"/>
      <c r="V40" s="229"/>
      <c r="W40" s="229"/>
      <c r="X40" s="229"/>
      <c r="Y40" s="229"/>
      <c r="Z40" s="229"/>
      <c r="AA40" s="229"/>
      <c r="AB40" s="229"/>
      <c r="AC40" s="229"/>
      <c r="AD40" s="229"/>
    </row>
    <row r="41" spans="1:30">
      <c r="E41" s="266"/>
      <c r="F41" s="267" t="s">
        <v>360</v>
      </c>
      <c r="G41" s="228"/>
      <c r="H41" s="228"/>
      <c r="I41" s="228"/>
      <c r="J41" s="228"/>
      <c r="K41" s="228"/>
      <c r="L41" s="228"/>
      <c r="M41" s="228"/>
      <c r="N41" s="228"/>
      <c r="O41" s="228"/>
      <c r="P41" s="228"/>
      <c r="Q41" s="228"/>
      <c r="R41" s="228"/>
      <c r="S41" s="228"/>
      <c r="T41" s="228"/>
      <c r="U41" s="228"/>
      <c r="V41" s="228"/>
      <c r="W41" s="228"/>
      <c r="X41" s="228"/>
      <c r="Y41" s="228"/>
      <c r="Z41" s="228"/>
      <c r="AA41" s="228"/>
      <c r="AB41" s="228"/>
      <c r="AC41" s="29"/>
      <c r="AD41" s="29"/>
    </row>
    <row r="42" spans="1:30">
      <c r="E42" s="29"/>
      <c r="F42" s="29" t="s">
        <v>341</v>
      </c>
      <c r="G42" s="259">
        <f t="shared" ref="G42:AB42" si="17">IF(G$4&lt;=$C$25,G22/G11,"")</f>
        <v>0.16804306208637718</v>
      </c>
      <c r="H42" s="259">
        <f t="shared" si="17"/>
        <v>0.1230635284790253</v>
      </c>
      <c r="I42" s="253">
        <f t="shared" ca="1" si="17"/>
        <v>0.12321297875707828</v>
      </c>
      <c r="J42" s="253">
        <f t="shared" ca="1" si="17"/>
        <v>0.12327415004599142</v>
      </c>
      <c r="K42" s="253">
        <f t="shared" ca="1" si="17"/>
        <v>0.12333430433482995</v>
      </c>
      <c r="L42" s="253">
        <f t="shared" ca="1" si="17"/>
        <v>0.12339345849040075</v>
      </c>
      <c r="M42" s="253">
        <f t="shared" ca="1" si="17"/>
        <v>0.12345162910113956</v>
      </c>
      <c r="N42" s="253">
        <f t="shared" ca="1" si="17"/>
        <v>0.123508832481661</v>
      </c>
      <c r="O42" s="253">
        <f t="shared" ca="1" si="17"/>
        <v>0.12356508467723369</v>
      </c>
      <c r="P42" s="253">
        <f t="shared" ca="1" si="17"/>
        <v>0.12362040146818576</v>
      </c>
      <c r="Q42" s="253">
        <f t="shared" ca="1" si="17"/>
        <v>0.12367479837423959</v>
      </c>
      <c r="R42" s="253">
        <f t="shared" ca="1" si="17"/>
        <v>0.12372829065877396</v>
      </c>
      <c r="S42" s="253">
        <f t="shared" ca="1" si="17"/>
        <v>0.12378089333302218</v>
      </c>
      <c r="T42" s="253">
        <f t="shared" ca="1" si="17"/>
        <v>0.12383262116020025</v>
      </c>
      <c r="U42" s="253">
        <f t="shared" ca="1" si="17"/>
        <v>0.12388348865956783</v>
      </c>
      <c r="V42" s="253">
        <f t="shared" ca="1" si="17"/>
        <v>0.12393351011042654</v>
      </c>
      <c r="W42" s="253">
        <f t="shared" ca="1" si="17"/>
        <v>0.12398269955605118</v>
      </c>
      <c r="X42" s="253">
        <f t="shared" ca="1" si="17"/>
        <v>0.1240310708075604</v>
      </c>
      <c r="Y42" s="253" t="str">
        <f t="shared" si="17"/>
        <v/>
      </c>
      <c r="Z42" s="253" t="str">
        <f t="shared" si="17"/>
        <v/>
      </c>
      <c r="AA42" s="253" t="str">
        <f t="shared" si="17"/>
        <v/>
      </c>
      <c r="AB42" s="253" t="str">
        <f t="shared" si="17"/>
        <v/>
      </c>
      <c r="AC42" s="253"/>
      <c r="AD42" s="253"/>
    </row>
    <row r="43" spans="1:30">
      <c r="E43" s="29"/>
      <c r="F43" s="29"/>
      <c r="G43" s="259"/>
      <c r="H43" s="259"/>
      <c r="I43" s="254"/>
      <c r="J43" s="254"/>
      <c r="K43" s="254"/>
      <c r="L43" s="254"/>
      <c r="M43" s="254"/>
      <c r="N43" s="254"/>
      <c r="O43" s="254"/>
      <c r="P43" s="254"/>
      <c r="Q43" s="254"/>
      <c r="R43" s="254"/>
      <c r="S43" s="254"/>
      <c r="T43" s="254"/>
      <c r="U43" s="254"/>
      <c r="V43" s="254"/>
      <c r="W43" s="254"/>
      <c r="X43" s="254"/>
      <c r="Y43" s="254"/>
      <c r="Z43" s="254"/>
      <c r="AA43" s="254"/>
      <c r="AB43" s="254"/>
      <c r="AC43" s="255"/>
      <c r="AD43" s="255"/>
    </row>
    <row r="44" spans="1:30">
      <c r="E44" s="29"/>
      <c r="F44" s="29" t="s">
        <v>342</v>
      </c>
      <c r="G44" s="259">
        <f t="shared" ref="G44:AB44" si="18">IF(G$4&lt;=$C$25,G30/G11,"")</f>
        <v>6.2563094691220414E-2</v>
      </c>
      <c r="H44" s="259">
        <f t="shared" si="18"/>
        <v>5.2920999399384612E-2</v>
      </c>
      <c r="I44" s="253">
        <f t="shared" ca="1" si="18"/>
        <v>5.3111865038413801E-2</v>
      </c>
      <c r="J44" s="253">
        <f t="shared" ca="1" si="18"/>
        <v>5.3839139549175977E-2</v>
      </c>
      <c r="K44" s="253">
        <f t="shared" ca="1" si="18"/>
        <v>5.4559055840638339E-2</v>
      </c>
      <c r="L44" s="253">
        <f t="shared" ca="1" si="18"/>
        <v>5.5271690771706336E-2</v>
      </c>
      <c r="M44" s="253">
        <f t="shared" ca="1" si="18"/>
        <v>5.5977120367492042E-2</v>
      </c>
      <c r="N44" s="253">
        <f t="shared" ca="1" si="18"/>
        <v>5.6675419828649404E-2</v>
      </c>
      <c r="O44" s="253">
        <f t="shared" ca="1" si="18"/>
        <v>5.7366663540602991E-2</v>
      </c>
      <c r="P44" s="253">
        <f t="shared" ca="1" si="18"/>
        <v>5.8050925082676286E-2</v>
      </c>
      <c r="Q44" s="253">
        <f t="shared" ca="1" si="18"/>
        <v>5.8728277237117953E-2</v>
      </c>
      <c r="R44" s="253">
        <f t="shared" ca="1" si="18"/>
        <v>5.9398791998024315E-2</v>
      </c>
      <c r="S44" s="253">
        <f t="shared" ca="1" si="18"/>
        <v>6.0062540580166364E-2</v>
      </c>
      <c r="T44" s="253">
        <f t="shared" ca="1" si="18"/>
        <v>6.0719593427715352E-2</v>
      </c>
      <c r="U44" s="253">
        <f t="shared" ca="1" si="18"/>
        <v>6.1370020222869921E-2</v>
      </c>
      <c r="V44" s="253">
        <f t="shared" ca="1" si="18"/>
        <v>6.2013889894388843E-2</v>
      </c>
      <c r="W44" s="253">
        <f t="shared" ca="1" si="18"/>
        <v>6.2651270626025254E-2</v>
      </c>
      <c r="X44" s="253">
        <f t="shared" ca="1" si="18"/>
        <v>6.3282229864868936E-2</v>
      </c>
      <c r="Y44" s="253" t="str">
        <f t="shared" si="18"/>
        <v/>
      </c>
      <c r="Z44" s="253" t="str">
        <f t="shared" si="18"/>
        <v/>
      </c>
      <c r="AA44" s="253" t="str">
        <f t="shared" si="18"/>
        <v/>
      </c>
      <c r="AB44" s="253" t="str">
        <f t="shared" si="18"/>
        <v/>
      </c>
      <c r="AC44" s="253"/>
      <c r="AD44" s="253"/>
    </row>
    <row r="45" spans="1:30">
      <c r="E45" s="29"/>
      <c r="F45" s="29"/>
      <c r="G45" s="259"/>
      <c r="H45" s="259"/>
      <c r="I45" s="254"/>
      <c r="J45" s="254"/>
      <c r="K45" s="254"/>
      <c r="L45" s="254"/>
      <c r="M45" s="254"/>
      <c r="N45" s="254"/>
      <c r="O45" s="254"/>
      <c r="P45" s="254"/>
      <c r="Q45" s="254"/>
      <c r="R45" s="254"/>
      <c r="S45" s="254"/>
      <c r="T45" s="254"/>
      <c r="U45" s="254"/>
      <c r="V45" s="254"/>
      <c r="W45" s="254"/>
      <c r="X45" s="254"/>
      <c r="Y45" s="254"/>
      <c r="Z45" s="254"/>
      <c r="AA45" s="254"/>
      <c r="AB45" s="254"/>
      <c r="AC45" s="255"/>
      <c r="AD45" s="255"/>
    </row>
    <row r="46" spans="1:30">
      <c r="E46" s="29"/>
      <c r="F46" s="29" t="s">
        <v>343</v>
      </c>
      <c r="G46" s="259">
        <f t="shared" ref="G46:AB46" si="19">IF(G$4&lt;=$C$25,G37/G11,"")</f>
        <v>4.0859968222505053E-2</v>
      </c>
      <c r="H46" s="259">
        <f t="shared" si="19"/>
        <v>3.9832506729776111E-2</v>
      </c>
      <c r="I46" s="253">
        <f t="shared" ca="1" si="19"/>
        <v>3.9633274711667305E-2</v>
      </c>
      <c r="J46" s="253">
        <f t="shared" ca="1" si="19"/>
        <v>4.1002115559987277E-2</v>
      </c>
      <c r="K46" s="253">
        <f t="shared" ca="1" si="19"/>
        <v>4.2333064625587932E-2</v>
      </c>
      <c r="L46" s="253">
        <f t="shared" ca="1" si="19"/>
        <v>4.3627651654439069E-2</v>
      </c>
      <c r="M46" s="253">
        <f t="shared" ca="1" si="19"/>
        <v>4.4887336442894915E-2</v>
      </c>
      <c r="N46" s="253">
        <f t="shared" ca="1" si="19"/>
        <v>4.611351213386574E-2</v>
      </c>
      <c r="O46" s="253">
        <f t="shared" ca="1" si="19"/>
        <v>4.730750835664551E-2</v>
      </c>
      <c r="P46" s="253">
        <f t="shared" ca="1" si="19"/>
        <v>4.8470594217823841E-2</v>
      </c>
      <c r="Q46" s="253">
        <f t="shared" ca="1" si="19"/>
        <v>4.9603981150350529E-2</v>
      </c>
      <c r="R46" s="253">
        <f t="shared" ca="1" si="19"/>
        <v>5.0708825627485236E-2</v>
      </c>
      <c r="S46" s="253">
        <f t="shared" ca="1" si="19"/>
        <v>5.1786231748055231E-2</v>
      </c>
      <c r="T46" s="253">
        <f t="shared" ca="1" si="19"/>
        <v>5.2837253699125279E-2</v>
      </c>
      <c r="U46" s="253">
        <f t="shared" ca="1" si="19"/>
        <v>5.3862898101902673E-2</v>
      </c>
      <c r="V46" s="253">
        <f t="shared" ca="1" si="19"/>
        <v>5.486412624642497E-2</v>
      </c>
      <c r="W46" s="253">
        <f t="shared" ca="1" si="19"/>
        <v>5.5841856220306831E-2</v>
      </c>
      <c r="X46" s="253">
        <f t="shared" ca="1" si="19"/>
        <v>5.679696493658213E-2</v>
      </c>
      <c r="Y46" s="253" t="str">
        <f t="shared" si="19"/>
        <v/>
      </c>
      <c r="Z46" s="253" t="str">
        <f t="shared" si="19"/>
        <v/>
      </c>
      <c r="AA46" s="253" t="str">
        <f t="shared" si="19"/>
        <v/>
      </c>
      <c r="AB46" s="253" t="str">
        <f t="shared" si="19"/>
        <v/>
      </c>
      <c r="AC46" s="253"/>
      <c r="AD46" s="253"/>
    </row>
    <row r="47" spans="1:30">
      <c r="E47" s="29"/>
      <c r="F47" s="29"/>
      <c r="G47" s="228"/>
      <c r="H47" s="228"/>
      <c r="I47" s="228"/>
      <c r="J47" s="228"/>
      <c r="K47" s="228"/>
      <c r="L47" s="228"/>
      <c r="M47" s="228"/>
      <c r="N47" s="228"/>
      <c r="O47" s="228"/>
      <c r="P47" s="228"/>
      <c r="Q47" s="228"/>
      <c r="R47" s="228"/>
      <c r="S47" s="228"/>
      <c r="T47" s="228"/>
      <c r="U47" s="228"/>
      <c r="V47" s="228"/>
      <c r="W47" s="228"/>
      <c r="X47" s="228"/>
      <c r="Y47" s="228"/>
      <c r="Z47" s="228"/>
      <c r="AA47" s="228"/>
      <c r="AB47" s="228"/>
      <c r="AC47" s="29"/>
      <c r="AD47" s="29"/>
    </row>
    <row r="48" spans="1:30">
      <c r="E48" s="29"/>
      <c r="F48" s="29" t="s">
        <v>347</v>
      </c>
      <c r="G48" s="260">
        <f t="shared" ref="G48:AB48" si="20">IF(G$4&lt;=$C$25,G37/G39,"")</f>
        <v>4.4492899704657374</v>
      </c>
      <c r="H48" s="260">
        <f t="shared" si="20"/>
        <v>18.21745300811175</v>
      </c>
      <c r="I48" s="261">
        <f t="shared" ca="1" si="20"/>
        <v>18.142719895587533</v>
      </c>
      <c r="J48" s="261">
        <f t="shared" ca="1" si="20"/>
        <v>18.768930445683424</v>
      </c>
      <c r="K48" s="261">
        <f t="shared" ca="1" si="20"/>
        <v>19.37777654325205</v>
      </c>
      <c r="L48" s="261">
        <f t="shared" ca="1" si="20"/>
        <v>19.969960016536799</v>
      </c>
      <c r="M48" s="261">
        <f t="shared" ca="1" si="20"/>
        <v>20.546150571519512</v>
      </c>
      <c r="N48" s="261">
        <f t="shared" ca="1" si="20"/>
        <v>21.106987307403084</v>
      </c>
      <c r="O48" s="261">
        <f t="shared" ca="1" si="20"/>
        <v>21.653080160091626</v>
      </c>
      <c r="P48" s="261">
        <f t="shared" ca="1" si="20"/>
        <v>22.185011277096955</v>
      </c>
      <c r="Q48" s="261">
        <f t="shared" ca="1" si="20"/>
        <v>22.703336327133758</v>
      </c>
      <c r="R48" s="261">
        <f t="shared" ca="1" si="20"/>
        <v>23.208585747510092</v>
      </c>
      <c r="S48" s="261">
        <f t="shared" ca="1" si="20"/>
        <v>23.701265932276819</v>
      </c>
      <c r="T48" s="261">
        <f t="shared" ca="1" si="20"/>
        <v>24.181860363951738</v>
      </c>
      <c r="U48" s="261">
        <f t="shared" ca="1" si="20"/>
        <v>24.650830691504449</v>
      </c>
      <c r="V48" s="261">
        <f t="shared" ca="1" si="20"/>
        <v>25.108617757160321</v>
      </c>
      <c r="W48" s="261">
        <f t="shared" ca="1" si="20"/>
        <v>25.555642574456623</v>
      </c>
      <c r="X48" s="261">
        <f t="shared" ca="1" si="20"/>
        <v>25.992307259872867</v>
      </c>
      <c r="Y48" s="261" t="str">
        <f t="shared" si="20"/>
        <v/>
      </c>
      <c r="Z48" s="261" t="str">
        <f t="shared" si="20"/>
        <v/>
      </c>
      <c r="AA48" s="261" t="str">
        <f t="shared" si="20"/>
        <v/>
      </c>
      <c r="AB48" s="261" t="str">
        <f t="shared" si="20"/>
        <v/>
      </c>
      <c r="AC48" s="29"/>
      <c r="AD48" s="29"/>
    </row>
    <row r="49" spans="5:30">
      <c r="E49" s="29"/>
      <c r="F49" s="29"/>
      <c r="G49" s="260"/>
      <c r="H49" s="260"/>
      <c r="I49" s="261"/>
      <c r="J49" s="261"/>
      <c r="K49" s="261"/>
      <c r="L49" s="261"/>
      <c r="M49" s="261"/>
      <c r="N49" s="261"/>
      <c r="O49" s="261"/>
      <c r="P49" s="261"/>
      <c r="Q49" s="261"/>
      <c r="R49" s="261"/>
      <c r="S49" s="261"/>
      <c r="T49" s="261"/>
      <c r="U49" s="261"/>
      <c r="V49" s="261"/>
      <c r="W49" s="261"/>
      <c r="X49" s="261"/>
      <c r="Y49" s="261"/>
      <c r="Z49" s="261"/>
      <c r="AA49" s="261"/>
      <c r="AB49" s="261"/>
      <c r="AC49" s="29"/>
      <c r="AD49" s="29"/>
    </row>
  </sheetData>
  <mergeCells count="2">
    <mergeCell ref="G2:H2"/>
    <mergeCell ref="I2:W2"/>
  </mergeCells>
  <dataValidations count="2">
    <dataValidation type="list" allowBlank="1" showInputMessage="1" showErrorMessage="1" sqref="C13" xr:uid="{F8B6D1BB-E4FE-43DC-AF64-8F3EF492A84A}">
      <formula1>"Best Case, Most Likely Case, Worst Case"</formula1>
    </dataValidation>
    <dataValidation type="list" allowBlank="1" showInputMessage="1" showErrorMessage="1" sqref="C17" xr:uid="{4571572E-0C29-4ACD-B8B5-AB5092EC9582}">
      <formula1>"SAT 46, CYS08, Average"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A899-8008-4204-AAAF-2E48829015A2}">
  <sheetPr codeName="Sheet28"/>
  <dimension ref="A1:E83"/>
  <sheetViews>
    <sheetView showGridLines="0" tabSelected="1" zoomScale="90" zoomScaleNormal="90" workbookViewId="0">
      <pane xSplit="1" ySplit="6" topLeftCell="B7" activePane="bottomRight" state="frozen"/>
      <selection activeCell="B22" sqref="B22:D22"/>
      <selection pane="topRight" activeCell="B22" sqref="B22:D22"/>
      <selection pane="bottomLeft" activeCell="B22" sqref="B22:D22"/>
      <selection pane="bottomRight" activeCell="H28" sqref="H28"/>
    </sheetView>
  </sheetViews>
  <sheetFormatPr defaultColWidth="11.42578125" defaultRowHeight="12"/>
  <cols>
    <col min="1" max="1" width="52" style="12" bestFit="1" customWidth="1"/>
    <col min="2" max="2" width="41.28515625" style="493" customWidth="1"/>
    <col min="3" max="3" width="51.140625" style="493" customWidth="1"/>
    <col min="4" max="4" width="31.85546875" style="493" customWidth="1"/>
    <col min="5" max="5" width="10.140625" style="12" customWidth="1"/>
    <col min="6" max="16384" width="11.42578125" style="12"/>
  </cols>
  <sheetData>
    <row r="1" spans="1:5" s="3" customFormat="1" ht="32.25">
      <c r="A1" s="1" t="s">
        <v>654</v>
      </c>
      <c r="B1" s="479"/>
      <c r="C1" s="479"/>
      <c r="D1" s="479"/>
      <c r="E1" s="2"/>
    </row>
    <row r="2" spans="1:5" s="3" customFormat="1" ht="26.25">
      <c r="A2" s="304"/>
      <c r="B2" s="479"/>
      <c r="C2" s="479"/>
      <c r="D2" s="479"/>
      <c r="E2" s="2"/>
    </row>
    <row r="3" spans="1:5">
      <c r="A3" s="11"/>
      <c r="B3" s="480"/>
      <c r="C3" s="480"/>
      <c r="D3" s="480"/>
      <c r="E3" s="11"/>
    </row>
    <row r="4" spans="1:5" s="15" customFormat="1" ht="12.75">
      <c r="A4" s="13"/>
      <c r="B4" s="481"/>
      <c r="C4" s="485"/>
      <c r="D4" s="485"/>
      <c r="E4" s="13"/>
    </row>
    <row r="5" spans="1:5" s="15" customFormat="1" ht="12.75">
      <c r="A5" s="13"/>
      <c r="B5" s="481"/>
      <c r="C5" s="485"/>
      <c r="D5" s="485"/>
      <c r="E5" s="13"/>
    </row>
    <row r="6" spans="1:5" ht="18">
      <c r="A6" s="13"/>
      <c r="B6" s="482" t="s">
        <v>400</v>
      </c>
      <c r="C6" s="482" t="s">
        <v>394</v>
      </c>
      <c r="D6" s="482" t="s">
        <v>393</v>
      </c>
      <c r="E6" s="13"/>
    </row>
    <row r="7" spans="1:5" ht="19.5" thickBot="1">
      <c r="A7" s="448" t="s">
        <v>670</v>
      </c>
      <c r="B7" s="483"/>
      <c r="C7" s="483"/>
      <c r="D7" s="483"/>
      <c r="E7" s="13"/>
    </row>
    <row r="8" spans="1:5" ht="15">
      <c r="A8" s="450" t="s">
        <v>681</v>
      </c>
      <c r="B8" s="484">
        <v>1</v>
      </c>
      <c r="C8" s="484">
        <v>1</v>
      </c>
      <c r="D8" s="495">
        <v>2</v>
      </c>
      <c r="E8" s="13"/>
    </row>
    <row r="9" spans="1:5" ht="47.1" customHeight="1" thickBot="1">
      <c r="A9" s="452" t="s">
        <v>668</v>
      </c>
      <c r="B9" s="561" t="s">
        <v>669</v>
      </c>
      <c r="C9" s="561"/>
      <c r="D9" s="562"/>
      <c r="E9" s="13"/>
    </row>
    <row r="10" spans="1:5" ht="12.75">
      <c r="A10" s="13"/>
      <c r="B10" s="485"/>
      <c r="C10" s="485"/>
      <c r="D10" s="485"/>
      <c r="E10" s="13"/>
    </row>
    <row r="11" spans="1:5" ht="16.5" thickBot="1">
      <c r="A11" s="448" t="s">
        <v>792</v>
      </c>
      <c r="B11" s="475"/>
      <c r="C11" s="475"/>
      <c r="D11" s="475"/>
      <c r="E11" s="13"/>
    </row>
    <row r="12" spans="1:5" ht="30.6" customHeight="1">
      <c r="A12" s="450" t="s">
        <v>793</v>
      </c>
      <c r="B12" s="563" t="s">
        <v>794</v>
      </c>
      <c r="C12" s="563"/>
      <c r="D12" s="564"/>
      <c r="E12" s="13"/>
    </row>
    <row r="13" spans="1:5" ht="15">
      <c r="A13" s="451" t="s">
        <v>688</v>
      </c>
      <c r="B13" s="466">
        <f>AVERAGE('Growth Rate Predictions'!D36:X36)/100</f>
        <v>1.7380952380952382E-2</v>
      </c>
      <c r="C13" s="466">
        <f>AVERAGE('Growth Rate Predictions'!D16:X16)/100</f>
        <v>2.238095238095238E-2</v>
      </c>
      <c r="D13" s="496">
        <f>AVERAGE('Growth Rate Predictions'!D26:X26)/100</f>
        <v>2.7380952380952381E-2</v>
      </c>
      <c r="E13" s="13"/>
    </row>
    <row r="14" spans="1:5" ht="15">
      <c r="A14" s="451" t="s">
        <v>764</v>
      </c>
      <c r="B14" s="466">
        <f>AVERAGE('Growth Rate Predictions'!D37:X37)/100</f>
        <v>2.8761904761904763E-2</v>
      </c>
      <c r="C14" s="466">
        <f>AVERAGE('Growth Rate Predictions'!D17:X17)/100</f>
        <v>2.3761904761904762E-2</v>
      </c>
      <c r="D14" s="496">
        <f>AVERAGE('Growth Rate Predictions'!D27:X27)/100</f>
        <v>1.8761904761904761E-2</v>
      </c>
      <c r="E14" s="13"/>
    </row>
    <row r="15" spans="1:5" ht="15">
      <c r="A15" s="451" t="s">
        <v>212</v>
      </c>
      <c r="B15" s="466">
        <f>AVERAGE('Growth Rate Predictions'!D38:X38)/100</f>
        <v>2.461904761904762E-2</v>
      </c>
      <c r="C15" s="466">
        <f>AVERAGE('Growth Rate Predictions'!D18:X18)/100</f>
        <v>1.9619047619047619E-2</v>
      </c>
      <c r="D15" s="496">
        <f>AVERAGE('Growth Rate Predictions'!D28:X28)/100</f>
        <v>1.4619047619047618E-2</v>
      </c>
      <c r="E15" s="13"/>
    </row>
    <row r="16" spans="1:5" ht="15">
      <c r="A16" s="451" t="s">
        <v>2</v>
      </c>
      <c r="B16" s="466">
        <f>AVERAGE('Growth Rate Predictions'!D39:X39)/100</f>
        <v>2.7380952380952381E-2</v>
      </c>
      <c r="C16" s="466">
        <f>AVERAGE('Growth Rate Predictions'!D19:X19)/100</f>
        <v>2.238095238095238E-2</v>
      </c>
      <c r="D16" s="496">
        <f>AVERAGE('Growth Rate Predictions'!D29:X29)/100</f>
        <v>1.7380952380952382E-2</v>
      </c>
      <c r="E16" s="13"/>
    </row>
    <row r="17" spans="1:5" ht="15.75" thickBot="1">
      <c r="A17" s="452" t="s">
        <v>690</v>
      </c>
      <c r="B17" s="476">
        <f>AVERAGE('Growth Rate Predictions'!D40:X40)/100</f>
        <v>2.0429092810051234E-2</v>
      </c>
      <c r="C17" s="476">
        <f>AVERAGE('Growth Rate Predictions'!D20:X20)/100</f>
        <v>1.2929092810051234E-2</v>
      </c>
      <c r="D17" s="497">
        <f>AVERAGE('Growth Rate Predictions'!D30:X30)/100</f>
        <v>5.4290928100512335E-3</v>
      </c>
      <c r="E17" s="553"/>
    </row>
    <row r="18" spans="1:5" ht="55.5" customHeight="1" thickBot="1">
      <c r="A18" s="551" t="s">
        <v>663</v>
      </c>
      <c r="B18" s="552"/>
      <c r="C18" s="552"/>
      <c r="D18" s="552"/>
      <c r="E18" s="13"/>
    </row>
    <row r="19" spans="1:5" ht="32.1" customHeight="1">
      <c r="A19" s="477" t="s">
        <v>708</v>
      </c>
      <c r="B19" s="563" t="s">
        <v>710</v>
      </c>
      <c r="C19" s="563"/>
      <c r="D19" s="564"/>
      <c r="E19" s="13"/>
    </row>
    <row r="20" spans="1:5" ht="15.75">
      <c r="A20" s="478" t="s">
        <v>709</v>
      </c>
      <c r="B20" s="569" t="s">
        <v>711</v>
      </c>
      <c r="C20" s="570"/>
      <c r="D20" s="571"/>
      <c r="E20" s="13"/>
    </row>
    <row r="21" spans="1:5" ht="15">
      <c r="A21" s="451" t="s">
        <v>712</v>
      </c>
      <c r="B21" s="465">
        <v>0</v>
      </c>
      <c r="C21" s="465">
        <v>0.35</v>
      </c>
      <c r="D21" s="496">
        <v>0.65</v>
      </c>
      <c r="E21" s="13"/>
    </row>
    <row r="22" spans="1:5" s="15" customFormat="1" ht="15.6" customHeight="1">
      <c r="A22" s="451" t="s">
        <v>655</v>
      </c>
      <c r="B22" s="465" t="s">
        <v>290</v>
      </c>
      <c r="C22" s="465" t="s">
        <v>290</v>
      </c>
      <c r="D22" s="496" t="s">
        <v>290</v>
      </c>
      <c r="E22" s="13"/>
    </row>
    <row r="23" spans="1:5" s="15" customFormat="1" ht="15">
      <c r="A23" s="451" t="s">
        <v>656</v>
      </c>
      <c r="B23" s="567" t="s">
        <v>661</v>
      </c>
      <c r="C23" s="567"/>
      <c r="D23" s="568"/>
      <c r="E23" s="13"/>
    </row>
    <row r="24" spans="1:5" ht="15">
      <c r="A24" s="451" t="s">
        <v>657</v>
      </c>
      <c r="B24" s="463">
        <v>0</v>
      </c>
      <c r="C24" s="463">
        <f>'Fedora Ft. Worth Load Bank Stat'!$E$2</f>
        <v>1500</v>
      </c>
      <c r="D24" s="464">
        <f>'Fedora Ft. Worth Load Bank Stat'!$E$2</f>
        <v>1500</v>
      </c>
      <c r="E24" s="13"/>
    </row>
    <row r="25" spans="1:5" ht="15">
      <c r="A25" s="451" t="s">
        <v>658</v>
      </c>
      <c r="B25" s="463">
        <v>0</v>
      </c>
      <c r="C25" s="463">
        <f>'SAT 46 Load Bank Stats'!$C$28</f>
        <v>11800</v>
      </c>
      <c r="D25" s="464">
        <f>'SAT 46 Load Bank Stats'!$C$28</f>
        <v>11800</v>
      </c>
      <c r="E25" s="13"/>
    </row>
    <row r="26" spans="1:5" ht="47.25">
      <c r="A26" s="453" t="s">
        <v>659</v>
      </c>
      <c r="B26" s="486" t="s">
        <v>660</v>
      </c>
      <c r="C26" s="486" t="s">
        <v>678</v>
      </c>
      <c r="D26" s="498" t="s">
        <v>679</v>
      </c>
      <c r="E26" s="13"/>
    </row>
    <row r="27" spans="1:5" ht="15.75">
      <c r="A27" s="453" t="s">
        <v>747</v>
      </c>
      <c r="B27" s="521" t="s">
        <v>757</v>
      </c>
      <c r="C27" s="521" t="s">
        <v>151</v>
      </c>
      <c r="D27" s="522" t="s">
        <v>151</v>
      </c>
      <c r="E27" s="13"/>
    </row>
    <row r="28" spans="1:5" ht="15" thickBot="1">
      <c r="A28" s="454" t="s">
        <v>662</v>
      </c>
      <c r="B28" s="457">
        <f>'Master Tab'!$C$25</f>
        <v>3</v>
      </c>
      <c r="C28" s="457">
        <f>'Master Tab'!$C$25</f>
        <v>3</v>
      </c>
      <c r="D28" s="499">
        <f>'Master Tab'!$C$25</f>
        <v>3</v>
      </c>
      <c r="E28" s="13"/>
    </row>
    <row r="29" spans="1:5" ht="12.75">
      <c r="A29" s="13"/>
      <c r="B29" s="487"/>
      <c r="C29" s="494"/>
      <c r="D29" s="494"/>
      <c r="E29" s="13"/>
    </row>
    <row r="30" spans="1:5" ht="16.5" thickBot="1">
      <c r="A30" s="447" t="s">
        <v>254</v>
      </c>
      <c r="B30" s="485"/>
      <c r="C30" s="485"/>
      <c r="D30" s="485"/>
      <c r="E30" s="13"/>
    </row>
    <row r="31" spans="1:5" ht="15">
      <c r="A31" s="450" t="s">
        <v>366</v>
      </c>
      <c r="B31" s="488">
        <v>10</v>
      </c>
      <c r="C31" s="488">
        <v>15</v>
      </c>
      <c r="D31" s="500">
        <v>20</v>
      </c>
      <c r="E31" s="13"/>
    </row>
    <row r="32" spans="1:5" ht="15">
      <c r="A32" s="451" t="s">
        <v>664</v>
      </c>
      <c r="B32" s="461">
        <v>15</v>
      </c>
      <c r="C32" s="461">
        <v>15</v>
      </c>
      <c r="D32" s="462">
        <v>15</v>
      </c>
      <c r="E32" s="13"/>
    </row>
    <row r="33" spans="1:5" ht="15">
      <c r="A33" s="451" t="s">
        <v>665</v>
      </c>
      <c r="B33" s="461" t="s">
        <v>364</v>
      </c>
      <c r="C33" s="461" t="s">
        <v>364</v>
      </c>
      <c r="D33" s="462" t="s">
        <v>364</v>
      </c>
      <c r="E33" s="13"/>
    </row>
    <row r="34" spans="1:5" ht="15.75" thickBot="1">
      <c r="A34" s="452" t="s">
        <v>666</v>
      </c>
      <c r="B34" s="457" t="s">
        <v>667</v>
      </c>
      <c r="C34" s="457" t="s">
        <v>667</v>
      </c>
      <c r="D34" s="499" t="s">
        <v>667</v>
      </c>
      <c r="E34" s="13"/>
    </row>
    <row r="35" spans="1:5" ht="15">
      <c r="A35" s="449"/>
      <c r="B35" s="461"/>
      <c r="C35" s="461"/>
      <c r="D35" s="461"/>
      <c r="E35" s="13"/>
    </row>
    <row r="36" spans="1:5" ht="35.450000000000003" customHeight="1" thickBot="1">
      <c r="A36" s="447" t="s">
        <v>671</v>
      </c>
      <c r="B36" s="485"/>
      <c r="C36" s="485"/>
      <c r="D36" s="485"/>
      <c r="E36" s="13"/>
    </row>
    <row r="37" spans="1:5" ht="15">
      <c r="A37" s="450" t="s">
        <v>672</v>
      </c>
      <c r="B37" s="488">
        <v>68</v>
      </c>
      <c r="C37" s="488">
        <v>68</v>
      </c>
      <c r="D37" s="500">
        <v>68</v>
      </c>
      <c r="E37" s="13"/>
    </row>
    <row r="38" spans="1:5" ht="15">
      <c r="A38" s="451" t="s">
        <v>673</v>
      </c>
      <c r="B38" s="461">
        <v>0</v>
      </c>
      <c r="C38" s="461">
        <v>0</v>
      </c>
      <c r="D38" s="462">
        <v>0</v>
      </c>
      <c r="E38" s="13"/>
    </row>
    <row r="39" spans="1:5" ht="99.6" customHeight="1" thickBot="1">
      <c r="A39" s="452" t="s">
        <v>801</v>
      </c>
      <c r="B39" s="561" t="s">
        <v>802</v>
      </c>
      <c r="C39" s="561"/>
      <c r="D39" s="562"/>
      <c r="E39" s="13"/>
    </row>
    <row r="40" spans="1:5" ht="12.75">
      <c r="A40" s="13"/>
      <c r="B40" s="485"/>
      <c r="C40" s="485"/>
      <c r="D40" s="485"/>
      <c r="E40" s="13"/>
    </row>
    <row r="41" spans="1:5" ht="19.5" thickBot="1">
      <c r="A41" s="448" t="s">
        <v>676</v>
      </c>
      <c r="B41" s="483"/>
      <c r="C41" s="483"/>
      <c r="D41" s="483"/>
      <c r="E41" s="13"/>
    </row>
    <row r="42" spans="1:5" ht="15.75" thickBot="1">
      <c r="A42" s="455" t="s">
        <v>677</v>
      </c>
      <c r="B42" s="572" t="s">
        <v>680</v>
      </c>
      <c r="C42" s="572"/>
      <c r="D42" s="573"/>
      <c r="E42" s="13"/>
    </row>
    <row r="43" spans="1:5" ht="14.25">
      <c r="A43" s="13"/>
      <c r="B43" s="475"/>
      <c r="C43" s="475"/>
      <c r="D43" s="475"/>
      <c r="E43" s="13"/>
    </row>
    <row r="44" spans="1:5" ht="16.5" thickBot="1">
      <c r="A44" s="447" t="s">
        <v>344</v>
      </c>
      <c r="B44" s="485"/>
      <c r="C44" s="485"/>
      <c r="D44" s="485"/>
      <c r="E44" s="13"/>
    </row>
    <row r="45" spans="1:5" ht="15">
      <c r="A45" s="450" t="s">
        <v>713</v>
      </c>
      <c r="B45" s="459">
        <v>2000</v>
      </c>
      <c r="C45" s="459">
        <v>2000</v>
      </c>
      <c r="D45" s="460">
        <v>2000</v>
      </c>
      <c r="E45" s="13"/>
    </row>
    <row r="46" spans="1:5" ht="15.75" customHeight="1">
      <c r="A46" s="451" t="s">
        <v>674</v>
      </c>
      <c r="B46" s="461" t="s">
        <v>290</v>
      </c>
      <c r="C46" s="461" t="s">
        <v>290</v>
      </c>
      <c r="D46" s="462" t="s">
        <v>151</v>
      </c>
      <c r="E46" s="13"/>
    </row>
    <row r="47" spans="1:5" ht="15">
      <c r="A47" s="451" t="s">
        <v>714</v>
      </c>
      <c r="B47" s="463">
        <v>20</v>
      </c>
      <c r="C47" s="463">
        <v>20</v>
      </c>
      <c r="D47" s="464">
        <v>20</v>
      </c>
      <c r="E47" s="13"/>
    </row>
    <row r="48" spans="1:5" s="24" customFormat="1" ht="15.75" thickBot="1">
      <c r="A48" s="452" t="s">
        <v>675</v>
      </c>
      <c r="B48" s="457" t="s">
        <v>151</v>
      </c>
      <c r="C48" s="457" t="s">
        <v>151</v>
      </c>
      <c r="D48" s="499" t="s">
        <v>151</v>
      </c>
      <c r="E48" s="13"/>
    </row>
    <row r="49" spans="1:5" s="24" customFormat="1" ht="12.75">
      <c r="A49" s="13"/>
      <c r="B49" s="487"/>
      <c r="C49" s="494"/>
      <c r="D49" s="494"/>
      <c r="E49" s="13"/>
    </row>
    <row r="50" spans="1:5" s="24" customFormat="1" ht="16.5" thickBot="1">
      <c r="A50" s="447" t="s">
        <v>697</v>
      </c>
      <c r="B50" s="485"/>
      <c r="C50" s="485"/>
      <c r="D50" s="485"/>
      <c r="E50" s="13"/>
    </row>
    <row r="51" spans="1:5" s="24" customFormat="1" ht="15">
      <c r="A51" s="450"/>
      <c r="B51" s="565" t="s">
        <v>698</v>
      </c>
      <c r="C51" s="565"/>
      <c r="D51" s="566"/>
      <c r="E51" s="13"/>
    </row>
    <row r="52" spans="1:5" s="24" customFormat="1" ht="15">
      <c r="A52" s="451" t="s">
        <v>699</v>
      </c>
      <c r="B52" s="567">
        <v>3.2219000000000002E-3</v>
      </c>
      <c r="C52" s="567"/>
      <c r="D52" s="568"/>
      <c r="E52" s="13"/>
    </row>
    <row r="53" spans="1:5" s="24" customFormat="1" ht="15">
      <c r="A53" s="451" t="s">
        <v>756</v>
      </c>
      <c r="B53" s="489">
        <f>$B$52+0.025</f>
        <v>2.8221900000000001E-2</v>
      </c>
      <c r="C53" s="489">
        <f>$B$52+0.01</f>
        <v>1.32219E-2</v>
      </c>
      <c r="D53" s="501">
        <f>$B$52+0.005</f>
        <v>8.2219000000000007E-3</v>
      </c>
      <c r="E53" s="13"/>
    </row>
    <row r="54" spans="1:5" s="24" customFormat="1" ht="15.75" thickBot="1">
      <c r="A54" s="452" t="s">
        <v>689</v>
      </c>
      <c r="B54" s="490">
        <f>B53+0.017</f>
        <v>4.5221900000000002E-2</v>
      </c>
      <c r="C54" s="490">
        <f t="shared" ref="C54:D54" si="0">C53+0.017</f>
        <v>3.0221900000000003E-2</v>
      </c>
      <c r="D54" s="502">
        <f t="shared" si="0"/>
        <v>2.5221900000000002E-2</v>
      </c>
      <c r="E54" s="13"/>
    </row>
    <row r="55" spans="1:5" s="24" customFormat="1" ht="12.75">
      <c r="A55" s="13"/>
      <c r="B55" s="487"/>
      <c r="C55" s="494"/>
      <c r="D55" s="494"/>
      <c r="E55" s="13"/>
    </row>
    <row r="56" spans="1:5" s="24" customFormat="1" ht="12.75">
      <c r="A56" s="13"/>
      <c r="B56" s="487"/>
      <c r="C56" s="494"/>
      <c r="D56" s="494"/>
      <c r="E56" s="13"/>
    </row>
    <row r="57" spans="1:5" s="24" customFormat="1" ht="12.75">
      <c r="A57" s="13"/>
      <c r="B57" s="487"/>
      <c r="C57" s="494"/>
      <c r="D57" s="494"/>
      <c r="E57" s="13"/>
    </row>
    <row r="58" spans="1:5" s="24" customFormat="1" ht="12.75">
      <c r="A58" s="13"/>
      <c r="B58" s="487"/>
      <c r="C58" s="494"/>
      <c r="D58" s="494"/>
      <c r="E58" s="13"/>
    </row>
    <row r="59" spans="1:5" s="24" customFormat="1" ht="12.75">
      <c r="A59" s="13"/>
      <c r="B59" s="487"/>
      <c r="C59" s="494"/>
      <c r="D59" s="494"/>
      <c r="E59" s="13"/>
    </row>
    <row r="60" spans="1:5" s="24" customFormat="1" ht="12.75">
      <c r="A60" s="13"/>
      <c r="B60" s="487"/>
      <c r="C60" s="494"/>
      <c r="D60" s="494"/>
      <c r="E60" s="13"/>
    </row>
    <row r="61" spans="1:5" s="24" customFormat="1" ht="12.75">
      <c r="A61" s="13"/>
      <c r="B61" s="487"/>
      <c r="C61" s="494"/>
      <c r="D61" s="494"/>
      <c r="E61" s="13"/>
    </row>
    <row r="62" spans="1:5" s="24" customFormat="1" ht="15">
      <c r="A62" s="13"/>
      <c r="B62" s="487"/>
      <c r="C62" s="494"/>
      <c r="D62" s="494"/>
      <c r="E62"/>
    </row>
    <row r="63" spans="1:5" s="24" customFormat="1" ht="15">
      <c r="A63" s="13"/>
      <c r="B63" s="487"/>
      <c r="C63" s="494"/>
      <c r="D63" s="494"/>
      <c r="E63"/>
    </row>
    <row r="64" spans="1:5" s="24" customFormat="1" ht="15">
      <c r="A64" s="13"/>
      <c r="B64" s="487"/>
      <c r="C64" s="494"/>
      <c r="D64" s="494"/>
      <c r="E64"/>
    </row>
    <row r="65" spans="1:5" s="24" customFormat="1" ht="15">
      <c r="A65" s="13"/>
      <c r="B65" s="487"/>
      <c r="C65" s="494"/>
      <c r="D65" s="494"/>
      <c r="E65"/>
    </row>
    <row r="66" spans="1:5" s="24" customFormat="1" ht="15">
      <c r="A66" s="13"/>
      <c r="B66" s="487"/>
      <c r="C66" s="494"/>
      <c r="D66" s="494"/>
      <c r="E66"/>
    </row>
    <row r="67" spans="1:5" s="24" customFormat="1" ht="15">
      <c r="A67"/>
      <c r="B67" s="491"/>
      <c r="C67" s="491"/>
      <c r="D67" s="491"/>
      <c r="E67"/>
    </row>
    <row r="68" spans="1:5" s="24" customFormat="1" ht="12.75">
      <c r="B68" s="492"/>
      <c r="C68" s="492"/>
      <c r="D68" s="492"/>
    </row>
    <row r="69" spans="1:5" s="24" customFormat="1" ht="12.75">
      <c r="B69" s="492"/>
      <c r="C69" s="492"/>
      <c r="D69" s="492"/>
    </row>
    <row r="70" spans="1:5" s="24" customFormat="1" ht="12.75">
      <c r="B70" s="492"/>
      <c r="C70" s="492"/>
      <c r="D70" s="492"/>
    </row>
    <row r="71" spans="1:5" s="24" customFormat="1" ht="12.75">
      <c r="B71" s="492"/>
      <c r="C71" s="492"/>
      <c r="D71" s="492"/>
    </row>
    <row r="72" spans="1:5" s="24" customFormat="1" ht="12.75">
      <c r="B72" s="492"/>
      <c r="C72" s="492"/>
      <c r="D72" s="492"/>
    </row>
    <row r="73" spans="1:5" ht="12.75">
      <c r="A73" s="24"/>
      <c r="B73" s="492"/>
      <c r="C73" s="492"/>
      <c r="D73" s="492"/>
      <c r="E73" s="24"/>
    </row>
    <row r="74" spans="1:5" s="24" customFormat="1" ht="12.75">
      <c r="B74" s="492"/>
      <c r="C74" s="492"/>
      <c r="D74" s="492"/>
    </row>
    <row r="75" spans="1:5" s="24" customFormat="1" ht="12.75">
      <c r="B75" s="492"/>
      <c r="C75" s="492"/>
      <c r="D75" s="492"/>
    </row>
    <row r="76" spans="1:5" ht="12.75">
      <c r="A76" s="24"/>
      <c r="B76" s="492"/>
      <c r="C76" s="492"/>
      <c r="D76" s="492"/>
      <c r="E76" s="24"/>
    </row>
    <row r="77" spans="1:5" ht="12.75">
      <c r="A77" s="24"/>
      <c r="B77" s="492"/>
      <c r="C77" s="492"/>
      <c r="D77" s="492"/>
      <c r="E77" s="24"/>
    </row>
    <row r="78" spans="1:5" ht="12.75">
      <c r="A78" s="24"/>
      <c r="B78" s="492"/>
      <c r="C78" s="492"/>
      <c r="D78" s="492"/>
      <c r="E78" s="24"/>
    </row>
    <row r="79" spans="1:5" ht="12.75">
      <c r="A79" s="24"/>
      <c r="B79" s="492"/>
      <c r="C79" s="492"/>
      <c r="D79" s="492"/>
    </row>
    <row r="80" spans="1:5" ht="12.75">
      <c r="A80" s="24"/>
      <c r="B80" s="492"/>
      <c r="C80" s="492"/>
      <c r="D80" s="492"/>
    </row>
    <row r="81" spans="1:4" ht="12.75">
      <c r="A81" s="24"/>
      <c r="B81" s="492"/>
      <c r="C81" s="492"/>
      <c r="D81" s="492"/>
    </row>
    <row r="82" spans="1:4" ht="12.75">
      <c r="A82" s="24"/>
      <c r="B82" s="492"/>
      <c r="C82" s="492"/>
      <c r="D82" s="492"/>
    </row>
    <row r="83" spans="1:4" ht="12.75">
      <c r="A83" s="24"/>
      <c r="B83" s="492"/>
      <c r="C83" s="492"/>
      <c r="D83" s="492"/>
    </row>
  </sheetData>
  <mergeCells count="9">
    <mergeCell ref="B9:D9"/>
    <mergeCell ref="B12:D12"/>
    <mergeCell ref="B51:D51"/>
    <mergeCell ref="B52:D52"/>
    <mergeCell ref="B20:D20"/>
    <mergeCell ref="B19:D19"/>
    <mergeCell ref="B42:D42"/>
    <mergeCell ref="B39:D39"/>
    <mergeCell ref="B23:D23"/>
  </mergeCells>
  <conditionalFormatting sqref="A45:D48">
    <cfRule type="expression" dxfId="105" priority="20">
      <formula>MOD(ROW(),2)=0</formula>
    </cfRule>
  </conditionalFormatting>
  <conditionalFormatting sqref="A45:D48">
    <cfRule type="expression" dxfId="104" priority="19">
      <formula>MOD(ROW(),2)=0</formula>
    </cfRule>
  </conditionalFormatting>
  <conditionalFormatting sqref="A51:B53 A54:D54 C53:D53">
    <cfRule type="expression" dxfId="103" priority="11">
      <formula>MOD(ROW(),2)=0</formula>
    </cfRule>
  </conditionalFormatting>
  <conditionalFormatting sqref="A51:B53 A54:D54 C53:D53">
    <cfRule type="expression" dxfId="102" priority="10">
      <formula>MOD(ROW(),2)=0</formula>
    </cfRule>
  </conditionalFormatting>
  <conditionalFormatting sqref="A42:D42">
    <cfRule type="expression" dxfId="101" priority="6">
      <formula>MOD(ROW(),2)=0</formula>
    </cfRule>
    <cfRule type="expression" dxfId="100" priority="7">
      <formula>MOD(ROW(),2)=0</formula>
    </cfRule>
    <cfRule type="expression" dxfId="99" priority="8">
      <formula>MOD(ROW(),2)=0</formula>
    </cfRule>
  </conditionalFormatting>
  <conditionalFormatting sqref="A37:D39">
    <cfRule type="expression" dxfId="98" priority="5">
      <formula>MOD(ROW(),2)=0</formula>
    </cfRule>
  </conditionalFormatting>
  <conditionalFormatting sqref="A31:D34">
    <cfRule type="expression" dxfId="97" priority="4">
      <formula>MOD(ROW(),2)=0</formula>
    </cfRule>
  </conditionalFormatting>
  <conditionalFormatting sqref="A19:D28">
    <cfRule type="expression" dxfId="96" priority="3">
      <formula>MOD(ROW(),2)=0</formula>
    </cfRule>
  </conditionalFormatting>
  <conditionalFormatting sqref="A12:D17">
    <cfRule type="expression" dxfId="95" priority="2">
      <formula>MOD(ROW(),2)=0</formula>
    </cfRule>
  </conditionalFormatting>
  <conditionalFormatting sqref="A8:D9">
    <cfRule type="expression" dxfId="94" priority="1">
      <formula>MOD(ROW(),2)=0</formula>
    </cfRule>
  </conditionalFormatting>
  <hyperlinks>
    <hyperlink ref="B20" r:id="rId1" display="https://www.industryarc.com/Report/18489/load-bank-rental-market-research-report-analysis.html" xr:uid="{E51273B5-32B2-405D-94F6-2C7381E69F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53CD-A924-4F8C-8A08-0E04A9B2C61D}">
  <sheetPr codeName="Sheet27">
    <tabColor rgb="FFFFFF00"/>
  </sheetPr>
  <dimension ref="A1:AC41"/>
  <sheetViews>
    <sheetView showGridLines="0" zoomScale="90" zoomScaleNormal="90" workbookViewId="0">
      <pane xSplit="6" ySplit="5" topLeftCell="G6" activePane="bottomRight" state="frozen"/>
      <selection activeCell="B22" sqref="B22:D22"/>
      <selection pane="topRight" activeCell="B22" sqref="B22:D22"/>
      <selection pane="bottomLeft" activeCell="B22" sqref="B22:D22"/>
      <selection pane="bottomRight" activeCell="I9" sqref="I9"/>
    </sheetView>
  </sheetViews>
  <sheetFormatPr defaultColWidth="9.140625" defaultRowHeight="14.25"/>
  <cols>
    <col min="1" max="1" width="19.85546875" style="30" customWidth="1"/>
    <col min="2" max="2" width="5.140625" style="30" customWidth="1"/>
    <col min="3" max="3" width="17.85546875" style="30" customWidth="1"/>
    <col min="4" max="4" width="9.140625" style="30"/>
    <col min="5" max="5" width="2.85546875" style="30" customWidth="1"/>
    <col min="6" max="6" width="36.140625" style="30" customWidth="1"/>
    <col min="7" max="28" width="10.140625" style="30" customWidth="1"/>
    <col min="29" max="29" width="14.7109375" style="30" bestFit="1" customWidth="1"/>
    <col min="30" max="16384" width="9.140625" style="30"/>
  </cols>
  <sheetData>
    <row r="1" spans="1:29" s="3" customFormat="1" ht="32.25">
      <c r="A1" s="1"/>
      <c r="B1" s="2"/>
      <c r="C1" s="2"/>
      <c r="D1" s="30"/>
      <c r="E1" s="1" t="s">
        <v>637</v>
      </c>
      <c r="F1" s="2"/>
      <c r="G1" s="2"/>
      <c r="H1" s="2"/>
      <c r="I1" s="2"/>
      <c r="J1" s="2"/>
      <c r="K1" s="2"/>
      <c r="L1" s="2"/>
      <c r="M1" s="2"/>
      <c r="N1" s="2"/>
      <c r="O1" s="2"/>
      <c r="P1" s="2"/>
      <c r="Q1" s="2"/>
      <c r="R1" s="2"/>
      <c r="S1" s="2"/>
      <c r="T1" s="2"/>
      <c r="U1" s="2"/>
      <c r="V1" s="2"/>
      <c r="W1" s="2"/>
      <c r="X1" s="2"/>
      <c r="Y1" s="2"/>
      <c r="Z1" s="2"/>
      <c r="AA1" s="2"/>
      <c r="AB1" s="2"/>
      <c r="AC1" s="2"/>
    </row>
    <row r="2" spans="1:29" s="3" customFormat="1" ht="26.25">
      <c r="A2" s="27" t="s">
        <v>15</v>
      </c>
      <c r="B2" s="2"/>
      <c r="C2" s="2"/>
      <c r="D2" s="30"/>
      <c r="E2" s="4"/>
      <c r="F2" s="332" t="s">
        <v>700</v>
      </c>
      <c r="G2" s="560" t="s">
        <v>333</v>
      </c>
      <c r="H2" s="560"/>
      <c r="I2" s="560"/>
      <c r="J2" s="560"/>
      <c r="K2" s="560"/>
      <c r="L2" s="560"/>
      <c r="M2" s="560"/>
      <c r="N2" s="560"/>
      <c r="O2" s="560"/>
      <c r="P2" s="560"/>
      <c r="Q2" s="560"/>
      <c r="R2" s="560"/>
      <c r="S2" s="560"/>
      <c r="T2" s="560"/>
      <c r="U2" s="560"/>
      <c r="V2" s="560"/>
      <c r="W2" s="2"/>
      <c r="X2" s="2"/>
      <c r="Y2" s="2"/>
      <c r="Z2" s="2"/>
      <c r="AA2" s="2"/>
      <c r="AB2" s="2"/>
      <c r="AC2" s="2"/>
    </row>
    <row r="3" spans="1:29" ht="24" thickBot="1">
      <c r="A3" s="46" t="s">
        <v>74</v>
      </c>
      <c r="B3" s="32"/>
      <c r="C3" s="32"/>
      <c r="E3" s="212"/>
      <c r="F3" s="29"/>
      <c r="G3" s="29"/>
      <c r="H3" s="29"/>
      <c r="I3" s="29"/>
      <c r="J3" s="29"/>
      <c r="K3" s="29"/>
      <c r="L3" s="29"/>
      <c r="M3" s="29"/>
      <c r="N3" s="29"/>
      <c r="O3" s="29"/>
      <c r="P3" s="29"/>
      <c r="Q3" s="29"/>
      <c r="R3" s="29"/>
      <c r="S3" s="29"/>
      <c r="T3" s="29"/>
      <c r="U3" s="29"/>
      <c r="V3" s="29"/>
      <c r="W3" s="29"/>
      <c r="X3" s="29"/>
      <c r="Y3" s="29"/>
      <c r="Z3" s="29"/>
      <c r="AA3" s="29"/>
      <c r="AB3" s="29"/>
      <c r="AC3" s="29"/>
    </row>
    <row r="4" spans="1:29" ht="15">
      <c r="A4" s="29" t="s">
        <v>453</v>
      </c>
      <c r="B4"/>
      <c r="C4" s="117">
        <f>HLOOKUP($C$12,Assumptions!$B$6:$D$8,3,FALSE)</f>
        <v>1</v>
      </c>
      <c r="E4" s="29"/>
      <c r="F4" s="238" t="s">
        <v>122</v>
      </c>
      <c r="G4" s="225">
        <v>1</v>
      </c>
      <c r="H4" s="225">
        <v>1</v>
      </c>
      <c r="I4" s="225">
        <v>2</v>
      </c>
      <c r="J4" s="225">
        <v>3</v>
      </c>
      <c r="K4" s="225">
        <v>4</v>
      </c>
      <c r="L4" s="225">
        <v>5</v>
      </c>
      <c r="M4" s="225">
        <v>6</v>
      </c>
      <c r="N4" s="225">
        <v>7</v>
      </c>
      <c r="O4" s="225">
        <v>8</v>
      </c>
      <c r="P4" s="225">
        <v>9</v>
      </c>
      <c r="Q4" s="225">
        <v>10</v>
      </c>
      <c r="R4" s="225">
        <v>11</v>
      </c>
      <c r="S4" s="225">
        <v>12</v>
      </c>
      <c r="T4" s="225">
        <v>13</v>
      </c>
      <c r="U4" s="225">
        <v>14</v>
      </c>
      <c r="V4" s="225">
        <v>15</v>
      </c>
      <c r="W4" s="225">
        <v>16</v>
      </c>
      <c r="X4" s="225">
        <v>17</v>
      </c>
      <c r="Y4" s="225">
        <v>18</v>
      </c>
      <c r="Z4" s="225">
        <v>19</v>
      </c>
      <c r="AA4" s="225">
        <v>20</v>
      </c>
      <c r="AB4" s="225">
        <v>21</v>
      </c>
      <c r="AC4" s="225"/>
    </row>
    <row r="5" spans="1:29" ht="15.75" thickBot="1">
      <c r="A5" s="29" t="s">
        <v>454</v>
      </c>
      <c r="B5"/>
      <c r="C5" s="117">
        <v>0</v>
      </c>
      <c r="E5" s="29"/>
      <c r="F5" s="32"/>
      <c r="G5" s="251">
        <v>2023</v>
      </c>
      <c r="H5" s="251">
        <v>2023</v>
      </c>
      <c r="I5" s="251">
        <v>2024</v>
      </c>
      <c r="J5" s="251">
        <v>2025</v>
      </c>
      <c r="K5" s="251">
        <v>2026</v>
      </c>
      <c r="L5" s="251">
        <v>2027</v>
      </c>
      <c r="M5" s="251">
        <v>2028</v>
      </c>
      <c r="N5" s="251">
        <v>2029</v>
      </c>
      <c r="O5" s="251">
        <v>2030</v>
      </c>
      <c r="P5" s="251">
        <v>2031</v>
      </c>
      <c r="Q5" s="251">
        <v>2032</v>
      </c>
      <c r="R5" s="251">
        <v>2033</v>
      </c>
      <c r="S5" s="251">
        <v>2034</v>
      </c>
      <c r="T5" s="251">
        <v>2035</v>
      </c>
      <c r="U5" s="251">
        <v>2036</v>
      </c>
      <c r="V5" s="251">
        <v>2037</v>
      </c>
      <c r="W5" s="251">
        <v>2038</v>
      </c>
      <c r="X5" s="251">
        <v>2039</v>
      </c>
      <c r="Y5" s="251">
        <v>2040</v>
      </c>
      <c r="Z5" s="251">
        <v>2041</v>
      </c>
      <c r="AA5" s="251">
        <v>2042</v>
      </c>
      <c r="AB5" s="251">
        <v>2041</v>
      </c>
      <c r="AC5" s="251"/>
    </row>
    <row r="6" spans="1:29" ht="15">
      <c r="A6"/>
      <c r="B6"/>
      <c r="C6" s="117"/>
      <c r="E6" s="29"/>
      <c r="F6" s="29"/>
      <c r="G6" s="228"/>
      <c r="H6" s="228"/>
      <c r="I6" s="228"/>
      <c r="J6" s="228"/>
      <c r="K6" s="29"/>
      <c r="L6" s="29"/>
      <c r="M6" s="29"/>
      <c r="N6" s="29"/>
      <c r="O6" s="29"/>
      <c r="P6" s="29"/>
      <c r="Q6" s="29"/>
      <c r="R6" s="29"/>
      <c r="S6" s="29"/>
      <c r="T6" s="29"/>
      <c r="U6" s="29"/>
      <c r="V6" s="29"/>
      <c r="W6" s="29"/>
      <c r="X6" s="29"/>
      <c r="Y6" s="29"/>
      <c r="Z6" s="29"/>
      <c r="AA6" s="29"/>
      <c r="AB6" s="29"/>
      <c r="AC6" s="29"/>
    </row>
    <row r="7" spans="1:29" ht="15">
      <c r="A7" s="270" t="s">
        <v>223</v>
      </c>
      <c r="B7" s="295"/>
      <c r="C7" s="117"/>
      <c r="E7" s="29"/>
      <c r="F7" s="29" t="s">
        <v>243</v>
      </c>
      <c r="G7" s="228"/>
      <c r="H7" s="228"/>
      <c r="I7" s="228"/>
      <c r="J7" s="228"/>
      <c r="K7" s="29"/>
      <c r="L7" s="29"/>
      <c r="M7" s="29"/>
      <c r="N7" s="29"/>
      <c r="O7" s="29"/>
      <c r="P7" s="29"/>
      <c r="Q7" s="29"/>
      <c r="R7" s="29"/>
      <c r="S7" s="29"/>
      <c r="T7" s="29"/>
      <c r="U7" s="29"/>
      <c r="V7" s="29"/>
      <c r="W7" s="29"/>
      <c r="X7" s="29"/>
      <c r="Y7" s="29"/>
      <c r="Z7" s="29"/>
      <c r="AA7" s="29"/>
      <c r="AB7" s="29"/>
      <c r="AC7" s="29"/>
    </row>
    <row r="8" spans="1:29" ht="15">
      <c r="A8" s="29" t="s">
        <v>500</v>
      </c>
      <c r="B8"/>
      <c r="C8" s="393">
        <f>'Cash Flow Old'!C8</f>
        <v>0</v>
      </c>
      <c r="E8" s="29"/>
      <c r="F8" s="213" t="s">
        <v>330</v>
      </c>
      <c r="G8" s="434">
        <f ca="1">IF(G$4&lt;=$C$32,-'Master Tab'!$F$11*(1+$C$21)^G$4,"")</f>
        <v>264646.58105116308</v>
      </c>
      <c r="H8" s="434">
        <f ca="1">G8*$C$40</f>
        <v>184165.01804656282</v>
      </c>
      <c r="I8" s="434">
        <f ca="1">IF(I$4&lt;=$C$32,-'Master Tab'!$F$11*(1+$C$21)^I$4,"")</f>
        <v>270569.623579451</v>
      </c>
      <c r="J8" s="434">
        <f ca="1">IF(J$4&lt;=$C$32,-'Master Tab'!$F$11*(1+$C$21)^J$4,"")</f>
        <v>276625.22944051493</v>
      </c>
      <c r="K8" s="434">
        <f ca="1">IF(K$4&lt;=$C$32,-'Master Tab'!$F$11*(1+$C$21)^K$4,"")</f>
        <v>282816.36552799307</v>
      </c>
      <c r="L8" s="434">
        <f ca="1">IF(L$4&lt;=$C$32,-'Master Tab'!$F$11*(1+$C$21)^L$4,"")</f>
        <v>289146.0651374291</v>
      </c>
      <c r="M8" s="434">
        <f ca="1">IF(M$4&lt;=$C$32,-'Master Tab'!$F$11*(1+$C$21)^M$4,"")</f>
        <v>295617.42945240968</v>
      </c>
      <c r="N8" s="434">
        <f ca="1">IF(N$4&lt;=$C$32,-'Master Tab'!$F$11*(1+$C$21)^N$4,"")</f>
        <v>302233.6290639636</v>
      </c>
      <c r="O8" s="434">
        <f ca="1">IF(O$4&lt;=$C$32,-'Master Tab'!$F$11*(1+$C$21)^O$4,"")</f>
        <v>308997.90552396653</v>
      </c>
      <c r="P8" s="434">
        <f ca="1">IF(P$4&lt;=$C$32,-'Master Tab'!$F$11*(1+$C$21)^P$4,"")</f>
        <v>315913.57293331245</v>
      </c>
      <c r="Q8" s="434">
        <f ca="1">IF(Q$4&lt;=$C$32,-'Master Tab'!$F$11*(1+$C$21)^Q$4,"")</f>
        <v>322984.01956562942</v>
      </c>
      <c r="R8" s="434">
        <f ca="1">IF(R$4&lt;=$C$32,-'Master Tab'!$F$11*(1+$C$21)^R$4,"")</f>
        <v>330212.70952733641</v>
      </c>
      <c r="S8" s="434">
        <f ca="1">IF(S$4&lt;=$C$32,-'Master Tab'!$F$11*(1+$C$21)^S$4,"")</f>
        <v>337603.18445485289</v>
      </c>
      <c r="T8" s="434">
        <f ca="1">IF(T$4&lt;=$C$32,-'Master Tab'!$F$11*(1+$C$21)^T$4,"")</f>
        <v>345159.06524979486</v>
      </c>
      <c r="U8" s="434">
        <f ca="1">IF(U$4&lt;=$C$32,-'Master Tab'!$F$11*(1+$C$21)^U$4,"")</f>
        <v>352884.05385300453</v>
      </c>
      <c r="V8" s="434">
        <f ca="1">IF(V$4&lt;=$C$32,-'Master Tab'!$F$11*(1+$C$21)^V$4,"")</f>
        <v>360781.93505828606</v>
      </c>
      <c r="W8" s="434" t="str">
        <f>IF(W$4&lt;=$C$32,-'Master Tab'!$F$11*(1+$C$21)^W$4,"")</f>
        <v/>
      </c>
      <c r="X8" s="434" t="str">
        <f>IF(X$4&lt;=$C$32,-'Master Tab'!$F$11*(1+$C$21)^X$4,"")</f>
        <v/>
      </c>
      <c r="Y8" s="434" t="str">
        <f>IF(Y$4&lt;=$C$32,-'Master Tab'!$F$11*(1+$C$21)^Y$4,"")</f>
        <v/>
      </c>
      <c r="Z8" s="434" t="str">
        <f>IF(Z$4&lt;=$C$32,-'Master Tab'!$F$11*(1+$C$21)^Z$4,"")</f>
        <v/>
      </c>
      <c r="AA8" s="434" t="str">
        <f>IF(AA$4&lt;=$C$32,-'Master Tab'!$F$11*(1+$C$21)^AA$4,"")</f>
        <v/>
      </c>
      <c r="AB8" s="434" t="str">
        <f>IF(AB$4&lt;=$C$32,-'Master Tab'!$F$11*(1+$C$21)^AB$4,"")</f>
        <v/>
      </c>
      <c r="AC8" s="229"/>
    </row>
    <row r="9" spans="1:29" ht="15">
      <c r="A9" s="29" t="s">
        <v>501</v>
      </c>
      <c r="B9"/>
      <c r="C9" s="393">
        <f>'Cash Flow Old'!C9</f>
        <v>68</v>
      </c>
      <c r="E9" s="29"/>
      <c r="F9" s="213" t="s">
        <v>638</v>
      </c>
      <c r="G9" s="434">
        <f ca="1">G15</f>
        <v>305592.99133774114</v>
      </c>
      <c r="H9" s="434">
        <f t="shared" ref="H9:H32" ca="1" si="0">G9*$C$40</f>
        <v>212659.2323281815</v>
      </c>
      <c r="I9" s="434">
        <f t="shared" ref="I9:AB9" ca="1" si="1">I15</f>
        <v>312432.45352482388</v>
      </c>
      <c r="J9" s="434">
        <f t="shared" ca="1" si="1"/>
        <v>319424.98938942712</v>
      </c>
      <c r="K9" s="434">
        <f t="shared" ca="1" si="1"/>
        <v>326574.024866238</v>
      </c>
      <c r="L9" s="434">
        <f t="shared" ca="1" si="1"/>
        <v>333883.06256562524</v>
      </c>
      <c r="M9" s="434">
        <f t="shared" ca="1" si="1"/>
        <v>341355.68348971306</v>
      </c>
      <c r="N9" s="434">
        <f t="shared" ca="1" si="1"/>
        <v>348995.5487868638</v>
      </c>
      <c r="O9" s="434">
        <f t="shared" ca="1" si="1"/>
        <v>356806.40154542687</v>
      </c>
      <c r="P9" s="434">
        <f t="shared" ca="1" si="1"/>
        <v>364792.06862763403</v>
      </c>
      <c r="Q9" s="434">
        <f t="shared" ca="1" si="1"/>
        <v>372956.4625445382</v>
      </c>
      <c r="R9" s="434">
        <f t="shared" ca="1" si="1"/>
        <v>381303.58337291592</v>
      </c>
      <c r="S9" s="434">
        <f t="shared" ca="1" si="1"/>
        <v>389837.52071507165</v>
      </c>
      <c r="T9" s="434">
        <f t="shared" ca="1" si="1"/>
        <v>398562.45570250414</v>
      </c>
      <c r="U9" s="434">
        <f t="shared" ca="1" si="1"/>
        <v>407482.66304441734</v>
      </c>
      <c r="V9" s="434">
        <f t="shared" ca="1" si="1"/>
        <v>416602.51312207815</v>
      </c>
      <c r="W9" s="434" t="str">
        <f t="shared" si="1"/>
        <v/>
      </c>
      <c r="X9" s="434" t="str">
        <f t="shared" si="1"/>
        <v/>
      </c>
      <c r="Y9" s="434" t="str">
        <f t="shared" si="1"/>
        <v/>
      </c>
      <c r="Z9" s="434" t="str">
        <f t="shared" si="1"/>
        <v/>
      </c>
      <c r="AA9" s="434" t="str">
        <f t="shared" si="1"/>
        <v/>
      </c>
      <c r="AB9" s="434" t="str">
        <f t="shared" si="1"/>
        <v/>
      </c>
      <c r="AC9" s="229"/>
    </row>
    <row r="10" spans="1:29" ht="15">
      <c r="A10" s="29"/>
      <c r="B10"/>
      <c r="C10" s="64"/>
      <c r="E10" s="29"/>
      <c r="F10" s="29" t="s">
        <v>8</v>
      </c>
      <c r="G10" s="435">
        <f ca="1">IF(G$4&lt;=$C$32,SUM(G8:G9),"")</f>
        <v>570239.57238890417</v>
      </c>
      <c r="H10" s="435">
        <f t="shared" ca="1" si="0"/>
        <v>396824.2503747443</v>
      </c>
      <c r="I10" s="435">
        <f t="shared" ref="I10:AB10" ca="1" si="2">IF(I$4&lt;=$C$32,SUM(I8:I9),"")</f>
        <v>583002.07710427488</v>
      </c>
      <c r="J10" s="435">
        <f t="shared" ca="1" si="2"/>
        <v>596050.21882994205</v>
      </c>
      <c r="K10" s="435">
        <f t="shared" ca="1" si="2"/>
        <v>609390.39039423107</v>
      </c>
      <c r="L10" s="435">
        <f t="shared" ca="1" si="2"/>
        <v>623029.12770305434</v>
      </c>
      <c r="M10" s="435">
        <f t="shared" ca="1" si="2"/>
        <v>636973.11294212274</v>
      </c>
      <c r="N10" s="435">
        <f t="shared" ca="1" si="2"/>
        <v>651229.17785082734</v>
      </c>
      <c r="O10" s="435">
        <f t="shared" ca="1" si="2"/>
        <v>665804.30706939334</v>
      </c>
      <c r="P10" s="435">
        <f t="shared" ca="1" si="2"/>
        <v>680705.64156094647</v>
      </c>
      <c r="Q10" s="435">
        <f t="shared" ca="1" si="2"/>
        <v>695940.48211016762</v>
      </c>
      <c r="R10" s="435">
        <f t="shared" ca="1" si="2"/>
        <v>711516.29290025239</v>
      </c>
      <c r="S10" s="435">
        <f t="shared" ca="1" si="2"/>
        <v>727440.70516992453</v>
      </c>
      <c r="T10" s="435">
        <f t="shared" ca="1" si="2"/>
        <v>743721.520952299</v>
      </c>
      <c r="U10" s="435">
        <f t="shared" ca="1" si="2"/>
        <v>760366.71689742187</v>
      </c>
      <c r="V10" s="435">
        <f t="shared" ca="1" si="2"/>
        <v>777384.44818036421</v>
      </c>
      <c r="W10" s="435" t="str">
        <f t="shared" si="2"/>
        <v/>
      </c>
      <c r="X10" s="435" t="str">
        <f t="shared" si="2"/>
        <v/>
      </c>
      <c r="Y10" s="435" t="str">
        <f t="shared" si="2"/>
        <v/>
      </c>
      <c r="Z10" s="435" t="str">
        <f t="shared" si="2"/>
        <v/>
      </c>
      <c r="AA10" s="435" t="str">
        <f t="shared" si="2"/>
        <v/>
      </c>
      <c r="AB10" s="435" t="str">
        <f t="shared" si="2"/>
        <v/>
      </c>
      <c r="AC10" s="435"/>
    </row>
    <row r="11" spans="1:29" ht="15.75" thickBot="1">
      <c r="A11" s="46" t="s">
        <v>353</v>
      </c>
      <c r="B11" s="32"/>
      <c r="C11" s="32"/>
      <c r="E11" s="29"/>
      <c r="F11" s="29"/>
      <c r="G11" s="434"/>
      <c r="H11" s="434"/>
      <c r="I11" s="434"/>
      <c r="J11" s="434"/>
      <c r="K11" s="434"/>
      <c r="L11" s="434"/>
      <c r="M11" s="434"/>
      <c r="N11" s="434"/>
      <c r="O11" s="434"/>
      <c r="P11" s="434"/>
      <c r="Q11" s="434"/>
      <c r="R11" s="434"/>
      <c r="S11" s="434"/>
      <c r="T11" s="434"/>
      <c r="U11" s="434"/>
      <c r="V11" s="434"/>
      <c r="W11" s="434"/>
      <c r="X11" s="434"/>
      <c r="Y11" s="434"/>
      <c r="Z11" s="434"/>
      <c r="AA11" s="434"/>
      <c r="AB11" s="434"/>
      <c r="AC11" s="229"/>
    </row>
    <row r="12" spans="1:29" ht="15">
      <c r="A12" s="256" t="s">
        <v>392</v>
      </c>
      <c r="B12"/>
      <c r="C12" s="394" t="s">
        <v>394</v>
      </c>
      <c r="E12" s="29"/>
      <c r="F12" s="29" t="s">
        <v>248</v>
      </c>
      <c r="G12" s="434"/>
      <c r="H12" s="434"/>
      <c r="I12" s="434"/>
      <c r="J12" s="434"/>
      <c r="K12" s="434"/>
      <c r="L12" s="434"/>
      <c r="M12" s="434"/>
      <c r="N12" s="434"/>
      <c r="O12" s="434"/>
      <c r="P12" s="434"/>
      <c r="Q12" s="434"/>
      <c r="R12" s="434"/>
      <c r="S12" s="434"/>
      <c r="T12" s="434"/>
      <c r="U12" s="434"/>
      <c r="V12" s="434"/>
      <c r="W12" s="434"/>
      <c r="X12" s="434"/>
      <c r="Y12" s="434"/>
      <c r="Z12" s="434"/>
      <c r="AA12" s="434"/>
      <c r="AB12" s="434"/>
      <c r="AC12" s="230"/>
    </row>
    <row r="13" spans="1:29">
      <c r="A13" s="256" t="s">
        <v>712</v>
      </c>
      <c r="B13" s="256"/>
      <c r="C13" s="118">
        <f>INDEX(Assumptions!$A$6:$D$58,MATCH(A13,Assumptions!$A$6:$A$58,0),MATCH($C$12,Assumptions!$A$6:$D$6,0))</f>
        <v>0.35</v>
      </c>
      <c r="E13" s="29"/>
      <c r="F13" s="213" t="s">
        <v>336</v>
      </c>
      <c r="G13" s="434">
        <f ca="1">IF(G$4&lt;=$C$32,(-'Master Tab'!$I$21)*(1+$C$21)^G$4,"")</f>
        <v>-305592.99133774114</v>
      </c>
      <c r="H13" s="434">
        <f ca="1">G13*$C$40</f>
        <v>-212659.2323281815</v>
      </c>
      <c r="I13" s="434">
        <f ca="1">IF(I$4&lt;=$C$32,(-'Master Tab'!$I$21)*(1+$C$21)^I$4,"")</f>
        <v>-312432.45352482388</v>
      </c>
      <c r="J13" s="434">
        <f ca="1">IF(J$4&lt;=$C$32,(-'Master Tab'!$I$21)*(1+$C$21)^J$4,"")</f>
        <v>-319424.98938942712</v>
      </c>
      <c r="K13" s="434">
        <f ca="1">IF(K$4&lt;=$C$32,(-'Master Tab'!$I$21)*(1+$C$21)^K$4,"")</f>
        <v>-326574.024866238</v>
      </c>
      <c r="L13" s="434">
        <f ca="1">IF(L$4&lt;=$C$32,(-'Master Tab'!$I$21)*(1+$C$21)^L$4,"")</f>
        <v>-333883.06256562524</v>
      </c>
      <c r="M13" s="434">
        <f ca="1">IF(M$4&lt;=$C$32,(-'Master Tab'!$I$21)*(1+$C$21)^M$4,"")</f>
        <v>-341355.68348971306</v>
      </c>
      <c r="N13" s="434">
        <f ca="1">IF(N$4&lt;=$C$32,(-'Master Tab'!$I$21)*(1+$C$21)^N$4,"")</f>
        <v>-348995.5487868638</v>
      </c>
      <c r="O13" s="434">
        <f ca="1">IF(O$4&lt;=$C$32,(-'Master Tab'!$I$21)*(1+$C$21)^O$4,"")</f>
        <v>-356806.40154542687</v>
      </c>
      <c r="P13" s="434">
        <f ca="1">IF(P$4&lt;=$C$32,(-'Master Tab'!$I$21)*(1+$C$21)^P$4,"")</f>
        <v>-364792.06862763403</v>
      </c>
      <c r="Q13" s="434">
        <f ca="1">IF(Q$4&lt;=$C$32,(-'Master Tab'!$I$21)*(1+$C$21)^Q$4,"")</f>
        <v>-372956.4625445382</v>
      </c>
      <c r="R13" s="434">
        <f ca="1">IF(R$4&lt;=$C$32,(-'Master Tab'!$I$21)*(1+$C$21)^R$4,"")</f>
        <v>-381303.58337291592</v>
      </c>
      <c r="S13" s="434">
        <f ca="1">IF(S$4&lt;=$C$32,(-'Master Tab'!$I$21)*(1+$C$21)^S$4,"")</f>
        <v>-389837.52071507165</v>
      </c>
      <c r="T13" s="434">
        <f ca="1">IF(T$4&lt;=$C$32,(-'Master Tab'!$I$21)*(1+$C$21)^T$4,"")</f>
        <v>-398562.45570250414</v>
      </c>
      <c r="U13" s="434">
        <f ca="1">IF(U$4&lt;=$C$32,(-'Master Tab'!$I$21)*(1+$C$21)^U$4,"")</f>
        <v>-407482.66304441734</v>
      </c>
      <c r="V13" s="434">
        <f ca="1">IF(V$4&lt;=$C$32,(-'Master Tab'!$I$21)*(1+$C$21)^V$4,"")</f>
        <v>-416602.51312207815</v>
      </c>
      <c r="W13" s="434" t="str">
        <f>IF(W$4&lt;=$C$32,(-'Master Tab'!$I$21)*(1+$C$21)^W$4,"")</f>
        <v/>
      </c>
      <c r="X13" s="434" t="str">
        <f>IF(X$4&lt;=$C$32,(-'Master Tab'!$I$21)*(1+$C$21)^X$4,"")</f>
        <v/>
      </c>
      <c r="Y13" s="434" t="str">
        <f>IF(Y$4&lt;=$C$32,(-'Master Tab'!$I$21)*(1+$C$21)^Y$4,"")</f>
        <v/>
      </c>
      <c r="Z13" s="434" t="str">
        <f>IF(Z$4&lt;=$C$32,(-'Master Tab'!$I$21)*(1+$C$21)^Z$4,"")</f>
        <v/>
      </c>
      <c r="AA13" s="434" t="str">
        <f>IF(AA$4&lt;=$C$32,(-'Master Tab'!$I$21)*(1+$C$21)^AA$4,"")</f>
        <v/>
      </c>
      <c r="AB13" s="434" t="str">
        <f>IF(AB$4&lt;=$C$32,(-'Master Tab'!$I$21)*(1+$C$21)^AB$4,"")</f>
        <v/>
      </c>
      <c r="AC13" s="434"/>
    </row>
    <row r="14" spans="1:29">
      <c r="A14" s="256"/>
      <c r="B14" s="256"/>
      <c r="C14" s="421"/>
      <c r="E14" s="29"/>
      <c r="F14" s="213" t="s">
        <v>753</v>
      </c>
      <c r="G14" s="434">
        <f>IF(G$4&lt;=$C$32,('Master Tab'!$F$10)*(1+$C$25)^G$4,"")</f>
        <v>116644.41904761906</v>
      </c>
      <c r="H14" s="434">
        <f t="shared" si="0"/>
        <v>81171.732707110248</v>
      </c>
      <c r="I14" s="434">
        <f>IF(I$4&lt;=$C$32,('Master Tab'!$F$10)*(1+$C$25)^I$4,"")</f>
        <v>118932.87145941042</v>
      </c>
      <c r="J14" s="434">
        <f>IF(J$4&lt;=$C$32,('Master Tab'!$F$10)*(1+$C$25)^J$4,"")</f>
        <v>121266.22112804267</v>
      </c>
      <c r="K14" s="434">
        <f>IF(K$4&lt;=$C$32,('Master Tab'!$F$10)*(1+$C$25)^K$4,"")</f>
        <v>123645.34889493568</v>
      </c>
      <c r="L14" s="434">
        <f>IF(L$4&lt;=$C$32,('Master Tab'!$F$10)*(1+$C$25)^L$4,"")</f>
        <v>126071.15288277919</v>
      </c>
      <c r="M14" s="434">
        <f>IF(M$4&lt;=$C$32,('Master Tab'!$F$10)*(1+$C$25)^M$4,"")</f>
        <v>128544.54883457464</v>
      </c>
      <c r="N14" s="434">
        <f>IF(N$4&lt;=$C$32,('Master Tab'!$F$10)*(1+$C$25)^N$4,"")</f>
        <v>131066.47045932918</v>
      </c>
      <c r="O14" s="434">
        <f>IF(O$4&lt;=$C$32,('Master Tab'!$F$10)*(1+$C$25)^O$4,"")</f>
        <v>133637.86978453124</v>
      </c>
      <c r="P14" s="434">
        <f>IF(P$4&lt;=$C$32,('Master Tab'!$F$10)*(1+$C$25)^P$4,"")</f>
        <v>136259.71751554203</v>
      </c>
      <c r="Q14" s="434">
        <f>IF(Q$4&lt;=$C$32,('Master Tab'!$F$10)*(1+$C$25)^Q$4,"")</f>
        <v>138933.00340203743</v>
      </c>
      <c r="R14" s="434">
        <f>IF(R$4&lt;=$C$32,('Master Tab'!$F$10)*(1+$C$25)^R$4,"")</f>
        <v>141658.73661163932</v>
      </c>
      <c r="S14" s="434">
        <f>IF(S$4&lt;=$C$32,('Master Tab'!$F$10)*(1+$C$25)^S$4,"")</f>
        <v>144437.94611087715</v>
      </c>
      <c r="T14" s="434">
        <f>IF(T$4&lt;=$C$32,('Master Tab'!$F$10)*(1+$C$25)^T$4,"")</f>
        <v>147271.68105362391</v>
      </c>
      <c r="U14" s="434">
        <f>IF(U$4&lt;=$C$32,('Master Tab'!$F$10)*(1+$C$25)^U$4,"")</f>
        <v>150161.01117715213</v>
      </c>
      <c r="V14" s="434">
        <f>IF(V$4&lt;=$C$32,('Master Tab'!$F$10)*(1+$C$25)^V$4,"")</f>
        <v>153107.02720596106</v>
      </c>
      <c r="W14" s="434" t="str">
        <f>IF(W$4&lt;=$C$32,('Master Tab'!$F$10)*(1+$C$25)^W$4,"")</f>
        <v/>
      </c>
      <c r="X14" s="434" t="str">
        <f>IF(X$4&lt;=$C$32,('Master Tab'!$F$10)*(1+$C$25)^X$4,"")</f>
        <v/>
      </c>
      <c r="Y14" s="434" t="str">
        <f>IF(Y$4&lt;=$C$32,('Master Tab'!$F$10)*(1+$C$25)^Y$4,"")</f>
        <v/>
      </c>
      <c r="Z14" s="434" t="str">
        <f>IF(Z$4&lt;=$C$32,('Master Tab'!$F$10)*(1+$C$25)^Z$4,"")</f>
        <v/>
      </c>
      <c r="AA14" s="434" t="str">
        <f>IF(AA$4&lt;=$C$32,('Master Tab'!$F$10)*(1+$C$25)^AA$4,"")</f>
        <v/>
      </c>
      <c r="AB14" s="434" t="str">
        <f>IF(AB$4&lt;=$C$32,('Master Tab'!$F$10)*(1+$C$25)^AB$4,"")</f>
        <v/>
      </c>
      <c r="AC14" s="434"/>
    </row>
    <row r="15" spans="1:29">
      <c r="A15" s="270" t="s">
        <v>754</v>
      </c>
      <c r="B15" s="256"/>
      <c r="C15" s="421"/>
      <c r="E15" s="29"/>
      <c r="F15" s="213" t="s">
        <v>638</v>
      </c>
      <c r="G15" s="434">
        <f ca="1">IF(G$4&lt;=$C$32,'Master Tab'!$I$21*(1+$C$21)^G$4,"")</f>
        <v>305592.99133774114</v>
      </c>
      <c r="H15" s="434">
        <f t="shared" ca="1" si="0"/>
        <v>212659.2323281815</v>
      </c>
      <c r="I15" s="434">
        <f ca="1">IF(I$4&lt;=$C$32,'Master Tab'!$I$21*(1+$C$21)^I$4,"")</f>
        <v>312432.45352482388</v>
      </c>
      <c r="J15" s="434">
        <f ca="1">IF(J$4&lt;=$C$32,'Master Tab'!$I$21*(1+$C$21)^J$4,"")</f>
        <v>319424.98938942712</v>
      </c>
      <c r="K15" s="434">
        <f ca="1">IF(K$4&lt;=$C$32,'Master Tab'!$I$21*(1+$C$21)^K$4,"")</f>
        <v>326574.024866238</v>
      </c>
      <c r="L15" s="434">
        <f ca="1">IF(L$4&lt;=$C$32,'Master Tab'!$I$21*(1+$C$21)^L$4,"")</f>
        <v>333883.06256562524</v>
      </c>
      <c r="M15" s="434">
        <f ca="1">IF(M$4&lt;=$C$32,'Master Tab'!$I$21*(1+$C$21)^M$4,"")</f>
        <v>341355.68348971306</v>
      </c>
      <c r="N15" s="434">
        <f ca="1">IF(N$4&lt;=$C$32,'Master Tab'!$I$21*(1+$C$21)^N$4,"")</f>
        <v>348995.5487868638</v>
      </c>
      <c r="O15" s="434">
        <f ca="1">IF(O$4&lt;=$C$32,'Master Tab'!$I$21*(1+$C$21)^O$4,"")</f>
        <v>356806.40154542687</v>
      </c>
      <c r="P15" s="434">
        <f ca="1">IF(P$4&lt;=$C$32,'Master Tab'!$I$21*(1+$C$21)^P$4,"")</f>
        <v>364792.06862763403</v>
      </c>
      <c r="Q15" s="434">
        <f ca="1">IF(Q$4&lt;=$C$32,'Master Tab'!$I$21*(1+$C$21)^Q$4,"")</f>
        <v>372956.4625445382</v>
      </c>
      <c r="R15" s="434">
        <f ca="1">IF(R$4&lt;=$C$32,'Master Tab'!$I$21*(1+$C$21)^R$4,"")</f>
        <v>381303.58337291592</v>
      </c>
      <c r="S15" s="434">
        <f ca="1">IF(S$4&lt;=$C$32,'Master Tab'!$I$21*(1+$C$21)^S$4,"")</f>
        <v>389837.52071507165</v>
      </c>
      <c r="T15" s="434">
        <f ca="1">IF(T$4&lt;=$C$32,'Master Tab'!$I$21*(1+$C$21)^T$4,"")</f>
        <v>398562.45570250414</v>
      </c>
      <c r="U15" s="434">
        <f ca="1">IF(U$4&lt;=$C$32,'Master Tab'!$I$21*(1+$C$21)^U$4,"")</f>
        <v>407482.66304441734</v>
      </c>
      <c r="V15" s="434">
        <f ca="1">IF(V$4&lt;=$C$32,'Master Tab'!$I$21*(1+$C$21)^V$4,"")</f>
        <v>416602.51312207815</v>
      </c>
      <c r="W15" s="434" t="str">
        <f>IF(W$4&lt;=$C$32,'Master Tab'!$I$21*(1+$C$21)^W$4,"")</f>
        <v/>
      </c>
      <c r="X15" s="434" t="str">
        <f>IF(X$4&lt;=$C$32,'Master Tab'!$I$21*(1+$C$21)^X$4,"")</f>
        <v/>
      </c>
      <c r="Y15" s="434" t="str">
        <f>IF(Y$4&lt;=$C$32,'Master Tab'!$I$21*(1+$C$21)^Y$4,"")</f>
        <v/>
      </c>
      <c r="Z15" s="434" t="str">
        <f>IF(Z$4&lt;=$C$32,'Master Tab'!$I$21*(1+$C$21)^Z$4,"")</f>
        <v/>
      </c>
      <c r="AA15" s="434" t="str">
        <f>IF(AA$4&lt;=$C$32,'Master Tab'!$I$21*(1+$C$21)^AA$4,"")</f>
        <v/>
      </c>
      <c r="AB15" s="434" t="str">
        <f>IF(AB$4&lt;=$C$32,'Master Tab'!$I$21*(1+$C$21)^AB$4,"")</f>
        <v/>
      </c>
      <c r="AC15" s="230"/>
    </row>
    <row r="16" spans="1:29">
      <c r="A16" s="256" t="s">
        <v>243</v>
      </c>
      <c r="B16" s="256"/>
      <c r="C16" s="421">
        <f ca="1">'Dynamic Tracking Chart'!R4*(1+C21)</f>
        <v>264646.58105116308</v>
      </c>
      <c r="E16" s="29"/>
      <c r="F16" s="213" t="s">
        <v>260</v>
      </c>
      <c r="G16" s="434">
        <f>IF(G$4&lt;=$C$32,'Master Tab'!$F$8*(1+$C$23)^G$4,"")</f>
        <v>40895.238095238099</v>
      </c>
      <c r="H16" s="434">
        <f t="shared" si="0"/>
        <v>28458.604044357471</v>
      </c>
      <c r="I16" s="434">
        <f>IF(I$4&lt;=$C$32,'Master Tab'!$F$8*(1+$C$23)^I$4,"")</f>
        <v>41810.512471655325</v>
      </c>
      <c r="J16" s="434">
        <f>IF(J$4&lt;=$C$32,'Master Tab'!$F$8*(1+$C$23)^J$4,"")</f>
        <v>42746.271560306661</v>
      </c>
      <c r="K16" s="434">
        <f>IF(K$4&lt;=$C$32,'Master Tab'!$F$8*(1+$C$23)^K$4,"")</f>
        <v>43702.973828561138</v>
      </c>
      <c r="L16" s="434">
        <f>IF(L$4&lt;=$C$32,'Master Tab'!$F$8*(1+$C$23)^L$4,"")</f>
        <v>44681.088004724174</v>
      </c>
      <c r="M16" s="434">
        <f>IF(M$4&lt;=$C$32,'Master Tab'!$F$8*(1+$C$23)^M$4,"")</f>
        <v>45681.09330768705</v>
      </c>
      <c r="N16" s="434">
        <f>IF(N$4&lt;=$C$32,'Master Tab'!$F$8*(1+$C$23)^N$4,"")</f>
        <v>46703.479681716235</v>
      </c>
      <c r="O16" s="434">
        <f>IF(O$4&lt;=$C$32,'Master Tab'!$F$8*(1+$C$23)^O$4,"")</f>
        <v>47748.748036497491</v>
      </c>
      <c r="P16" s="434">
        <f>IF(P$4&lt;=$C$32,'Master Tab'!$F$8*(1+$C$23)^P$4,"")</f>
        <v>48817.41049255243</v>
      </c>
      <c r="Q16" s="434">
        <f>IF(Q$4&lt;=$C$32,'Master Tab'!$F$8*(1+$C$23)^Q$4,"")</f>
        <v>49909.990632147652</v>
      </c>
      <c r="R16" s="434">
        <f>IF(R$4&lt;=$C$32,'Master Tab'!$F$8*(1+$C$23)^R$4,"")</f>
        <v>51027.023755819529</v>
      </c>
      <c r="S16" s="434">
        <f>IF(S$4&lt;=$C$32,'Master Tab'!$F$8*(1+$C$23)^S$4,"")</f>
        <v>52169.057144640246</v>
      </c>
      <c r="T16" s="434">
        <f>IF(T$4&lt;=$C$32,'Master Tab'!$F$8*(1+$C$23)^T$4,"")</f>
        <v>53336.650328353622</v>
      </c>
      <c r="U16" s="434">
        <f>IF(U$4&lt;=$C$32,'Master Tab'!$F$8*(1+$C$23)^U$4,"")</f>
        <v>54530.375359512007</v>
      </c>
      <c r="V16" s="434">
        <f>IF(V$4&lt;=$C$32,'Master Tab'!$F$8*(1+$C$23)^V$4,"")</f>
        <v>55750.817093748708</v>
      </c>
      <c r="W16" s="434" t="str">
        <f>IF(W$4&lt;=$C$32,'Master Tab'!$F$8*(1+$C$23)^W$4,"")</f>
        <v/>
      </c>
      <c r="X16" s="434" t="str">
        <f>IF(X$4&lt;=$C$32,'Master Tab'!$F$8*(1+$C$23)^X$4,"")</f>
        <v/>
      </c>
      <c r="Y16" s="434" t="str">
        <f>IF(Y$4&lt;=$C$32,'Master Tab'!$F$8*(1+$C$23)^Y$4,"")</f>
        <v/>
      </c>
      <c r="Z16" s="434" t="str">
        <f>IF(Z$4&lt;=$C$32,'Master Tab'!$F$8*(1+$C$23)^Z$4,"")</f>
        <v/>
      </c>
      <c r="AA16" s="434" t="str">
        <f>IF(AA$4&lt;=$C$32,'Master Tab'!$F$8*(1+$C$23)^AA$4,"")</f>
        <v/>
      </c>
      <c r="AB16" s="434" t="str">
        <f>IF(AB$4&lt;=$C$32,'Master Tab'!$F$8*(1+$C$23)^AB$4,"")</f>
        <v/>
      </c>
      <c r="AC16" s="229"/>
    </row>
    <row r="17" spans="1:29">
      <c r="A17" s="256" t="s">
        <v>692</v>
      </c>
      <c r="B17" s="256"/>
      <c r="C17" s="421">
        <f ca="1">'Dynamic Tracking Chart'!R5*(1+C22)</f>
        <v>257125.1691778723</v>
      </c>
      <c r="E17" s="29"/>
      <c r="F17" s="213" t="s">
        <v>335</v>
      </c>
      <c r="G17" s="434">
        <f ca="1">IF(G$4&lt;=$C$32,'Master Tab'!$F$9*(1+$C$22)^G4,"")</f>
        <v>193491.00000000003</v>
      </c>
      <c r="H17" s="434">
        <f t="shared" ca="1" si="0"/>
        <v>134648.53150684934</v>
      </c>
      <c r="I17" s="434">
        <f ca="1">IF(I$4&lt;=$C$32,'Master Tab'!$F$9*(1+$C$22)^I4,"")</f>
        <v>198088.71471428577</v>
      </c>
      <c r="J17" s="434">
        <f ca="1">IF(J$4&lt;=$C$32,'Master Tab'!$F$9*(1+$C$22)^J4,"")</f>
        <v>202795.67988773476</v>
      </c>
      <c r="K17" s="434">
        <f ca="1">IF(K$4&lt;=$C$32,'Master Tab'!$F$9*(1+$C$22)^K4,"")</f>
        <v>207614.49151935289</v>
      </c>
      <c r="L17" s="434">
        <f ca="1">IF(L$4&lt;=$C$32,'Master Tab'!$F$9*(1+$C$22)^L4,"")</f>
        <v>212547.80729402706</v>
      </c>
      <c r="M17" s="434">
        <f ca="1">IF(M$4&lt;=$C$32,'Master Tab'!$F$9*(1+$C$22)^M4,"")</f>
        <v>217598.34804829946</v>
      </c>
      <c r="N17" s="434">
        <f ca="1">IF(N$4&lt;=$C$32,'Master Tab'!$F$9*(1+$C$22)^N4,"")</f>
        <v>222768.89927097096</v>
      </c>
      <c r="O17" s="434">
        <f ca="1">IF(O$4&lt;=$C$32,'Master Tab'!$F$9*(1+$C$22)^O4,"")</f>
        <v>228062.31263936218</v>
      </c>
      <c r="P17" s="434">
        <f ca="1">IF(P$4&lt;=$C$32,'Master Tab'!$F$9*(1+$C$22)^P4,"")</f>
        <v>233481.50759207844</v>
      </c>
      <c r="Q17" s="434">
        <f ca="1">IF(Q$4&lt;=$C$32,'Master Tab'!$F$9*(1+$C$22)^Q4,"")</f>
        <v>239029.47293914744</v>
      </c>
      <c r="R17" s="434">
        <f ca="1">IF(R$4&lt;=$C$32,'Master Tab'!$F$9*(1+$C$22)^R4,"")</f>
        <v>244709.26851041577</v>
      </c>
      <c r="S17" s="434">
        <f ca="1">IF(S$4&lt;=$C$32,'Master Tab'!$F$9*(1+$C$22)^S4,"")</f>
        <v>250524.02684311566</v>
      </c>
      <c r="T17" s="434">
        <f ca="1">IF(T$4&lt;=$C$32,'Master Tab'!$F$9*(1+$C$22)^T4,"")</f>
        <v>256476.95490953067</v>
      </c>
      <c r="U17" s="434">
        <f ca="1">IF(U$4&lt;=$C$32,'Master Tab'!$F$9*(1+$C$22)^U4,"")</f>
        <v>262571.33588571433</v>
      </c>
      <c r="V17" s="434">
        <f ca="1">IF(V$4&lt;=$C$32,'Master Tab'!$F$9*(1+$C$22)^V4,"")</f>
        <v>268810.53096223681</v>
      </c>
      <c r="W17" s="434" t="str">
        <f>IF(W$4&lt;=$C$32,'Master Tab'!$F$9*(1+$C$22)^W4,"")</f>
        <v/>
      </c>
      <c r="X17" s="434" t="str">
        <f>IF(X$4&lt;=$C$32,'Master Tab'!$F$9*(1+$C$22)^X4,"")</f>
        <v/>
      </c>
      <c r="Y17" s="434" t="str">
        <f>IF(Y$4&lt;=$C$32,'Master Tab'!$F$9*(1+$C$22)^Y4,"")</f>
        <v/>
      </c>
      <c r="Z17" s="434" t="str">
        <f>IF(Z$4&lt;=$C$32,'Master Tab'!$F$9*(1+$C$22)^Z4,"")</f>
        <v/>
      </c>
      <c r="AA17" s="434" t="str">
        <f>IF(AA$4&lt;=$C$32,'Master Tab'!$F$9*(1+$C$22)^AA4,"")</f>
        <v/>
      </c>
      <c r="AB17" s="434" t="str">
        <f>IF(AB$4&lt;=$C$32,'Master Tab'!$F$9*(1+$C$22)^AB4,"")</f>
        <v/>
      </c>
      <c r="AC17" s="229"/>
    </row>
    <row r="18" spans="1:29" ht="15">
      <c r="A18" s="256" t="s">
        <v>693</v>
      </c>
      <c r="B18" s="256"/>
      <c r="C18" s="421">
        <f ca="1">C16-C17</f>
        <v>7521.4118732907809</v>
      </c>
      <c r="E18" s="29"/>
      <c r="F18" s="29" t="s">
        <v>8</v>
      </c>
      <c r="G18" s="435">
        <f ca="1">IF(G$4&lt;=$C$32,SUM(G13:G17),"")</f>
        <v>351030.65714285721</v>
      </c>
      <c r="H18" s="435">
        <f t="shared" ca="1" si="0"/>
        <v>244278.86825831709</v>
      </c>
      <c r="I18" s="435">
        <f t="shared" ref="I18:AB18" ca="1" si="3">IF(I$4&lt;=$C$32,SUM(I13:I17),"")</f>
        <v>358832.09864535148</v>
      </c>
      <c r="J18" s="435">
        <f t="shared" ca="1" si="3"/>
        <v>366808.17257608409</v>
      </c>
      <c r="K18" s="435">
        <f t="shared" ca="1" si="3"/>
        <v>374962.81424284971</v>
      </c>
      <c r="L18" s="435">
        <f t="shared" ca="1" si="3"/>
        <v>383300.04818153044</v>
      </c>
      <c r="M18" s="435">
        <f t="shared" ca="1" si="3"/>
        <v>391823.99019056116</v>
      </c>
      <c r="N18" s="435">
        <f t="shared" ca="1" si="3"/>
        <v>400538.8494120164</v>
      </c>
      <c r="O18" s="435">
        <f t="shared" ca="1" si="3"/>
        <v>409448.93046039093</v>
      </c>
      <c r="P18" s="435">
        <f t="shared" ca="1" si="3"/>
        <v>418558.63560017291</v>
      </c>
      <c r="Q18" s="435">
        <f t="shared" ca="1" si="3"/>
        <v>427872.46697333251</v>
      </c>
      <c r="R18" s="435">
        <f t="shared" ca="1" si="3"/>
        <v>437395.0288778746</v>
      </c>
      <c r="S18" s="435">
        <f t="shared" ca="1" si="3"/>
        <v>447131.03009863303</v>
      </c>
      <c r="T18" s="435">
        <f t="shared" ca="1" si="3"/>
        <v>457085.28629150824</v>
      </c>
      <c r="U18" s="435">
        <f t="shared" ca="1" si="3"/>
        <v>467262.72242237849</v>
      </c>
      <c r="V18" s="435">
        <f t="shared" ca="1" si="3"/>
        <v>477668.37526194658</v>
      </c>
      <c r="W18" s="435" t="str">
        <f t="shared" si="3"/>
        <v/>
      </c>
      <c r="X18" s="435" t="str">
        <f t="shared" si="3"/>
        <v/>
      </c>
      <c r="Y18" s="435" t="str">
        <f t="shared" si="3"/>
        <v/>
      </c>
      <c r="Z18" s="435" t="str">
        <f t="shared" si="3"/>
        <v/>
      </c>
      <c r="AA18" s="435" t="str">
        <f t="shared" si="3"/>
        <v/>
      </c>
      <c r="AB18" s="435" t="str">
        <f t="shared" si="3"/>
        <v/>
      </c>
      <c r="AC18" s="215"/>
    </row>
    <row r="19" spans="1:29">
      <c r="A19" s="29"/>
      <c r="B19" s="29"/>
      <c r="C19" s="117"/>
      <c r="E19" s="29"/>
      <c r="F19" s="29"/>
      <c r="G19" s="434"/>
      <c r="H19" s="434"/>
      <c r="I19" s="434"/>
      <c r="J19" s="434"/>
      <c r="K19" s="434"/>
      <c r="L19" s="434"/>
      <c r="M19" s="434"/>
      <c r="N19" s="434"/>
      <c r="O19" s="434"/>
      <c r="P19" s="434"/>
      <c r="Q19" s="434"/>
      <c r="R19" s="434"/>
      <c r="S19" s="434"/>
      <c r="T19" s="434"/>
      <c r="U19" s="434"/>
      <c r="V19" s="434"/>
      <c r="W19" s="434"/>
      <c r="X19" s="434"/>
      <c r="Y19" s="434"/>
      <c r="Z19" s="434"/>
      <c r="AA19" s="434"/>
      <c r="AB19" s="434"/>
      <c r="AC19" s="229"/>
    </row>
    <row r="20" spans="1:29" ht="15">
      <c r="A20" s="270" t="s">
        <v>257</v>
      </c>
      <c r="B20"/>
      <c r="C20" s="113"/>
      <c r="E20" s="29"/>
      <c r="F20" s="29"/>
      <c r="G20" s="434"/>
      <c r="H20" s="434"/>
      <c r="I20" s="434"/>
      <c r="J20" s="434"/>
      <c r="K20" s="434"/>
      <c r="L20" s="434"/>
      <c r="M20" s="434"/>
      <c r="N20" s="434"/>
      <c r="O20" s="434"/>
      <c r="P20" s="434"/>
      <c r="Q20" s="434"/>
      <c r="R20" s="434"/>
      <c r="S20" s="434"/>
      <c r="T20" s="434"/>
      <c r="U20" s="434"/>
      <c r="V20" s="434"/>
      <c r="W20" s="434"/>
      <c r="X20" s="434"/>
      <c r="Y20" s="434"/>
      <c r="Z20" s="434"/>
      <c r="AA20" s="434"/>
      <c r="AB20" s="434"/>
      <c r="AC20" s="216"/>
    </row>
    <row r="21" spans="1:29" ht="15">
      <c r="A21" s="29" t="s">
        <v>688</v>
      </c>
      <c r="B21"/>
      <c r="C21" s="392">
        <f>INDEX(Assumptions!$A$6:$D$17,MATCH(A21,Assumptions!$A$6:$A$17,0),MATCH($C$12,Assumptions!$A$6:$D$6,0))</f>
        <v>2.238095238095238E-2</v>
      </c>
      <c r="E21" s="29"/>
      <c r="F21" s="217" t="s">
        <v>435</v>
      </c>
      <c r="G21" s="436">
        <f ca="1">IF(G$4&lt;=$C$32,G10-G18,"")</f>
        <v>219208.91524604696</v>
      </c>
      <c r="H21" s="436">
        <f t="shared" ca="1" si="0"/>
        <v>152545.38211642721</v>
      </c>
      <c r="I21" s="436">
        <f t="shared" ref="I21:AB21" ca="1" si="4">IF(I$4&lt;=$C$32,I10-I18,"")</f>
        <v>224169.9784589234</v>
      </c>
      <c r="J21" s="436">
        <f t="shared" ca="1" si="4"/>
        <v>229242.04625385796</v>
      </c>
      <c r="K21" s="436">
        <f t="shared" ca="1" si="4"/>
        <v>234427.57615138136</v>
      </c>
      <c r="L21" s="436">
        <f t="shared" ca="1" si="4"/>
        <v>239729.0795215239</v>
      </c>
      <c r="M21" s="436">
        <f t="shared" ca="1" si="4"/>
        <v>245149.12275156158</v>
      </c>
      <c r="N21" s="436">
        <f t="shared" ca="1" si="4"/>
        <v>250690.32843881095</v>
      </c>
      <c r="O21" s="436">
        <f t="shared" ca="1" si="4"/>
        <v>256355.37660900241</v>
      </c>
      <c r="P21" s="436">
        <f t="shared" ca="1" si="4"/>
        <v>262147.00596077356</v>
      </c>
      <c r="Q21" s="436">
        <f t="shared" ca="1" si="4"/>
        <v>268068.01513683511</v>
      </c>
      <c r="R21" s="436">
        <f t="shared" ca="1" si="4"/>
        <v>274121.26402237779</v>
      </c>
      <c r="S21" s="436">
        <f t="shared" ca="1" si="4"/>
        <v>280309.67507129151</v>
      </c>
      <c r="T21" s="436">
        <f t="shared" ca="1" si="4"/>
        <v>286636.23466079077</v>
      </c>
      <c r="U21" s="436">
        <f t="shared" ca="1" si="4"/>
        <v>293103.99447504338</v>
      </c>
      <c r="V21" s="436">
        <f t="shared" ca="1" si="4"/>
        <v>299716.07291841763</v>
      </c>
      <c r="W21" s="436" t="str">
        <f t="shared" si="4"/>
        <v/>
      </c>
      <c r="X21" s="436" t="str">
        <f t="shared" si="4"/>
        <v/>
      </c>
      <c r="Y21" s="436" t="str">
        <f t="shared" si="4"/>
        <v/>
      </c>
      <c r="Z21" s="436" t="str">
        <f t="shared" si="4"/>
        <v/>
      </c>
      <c r="AA21" s="436" t="str">
        <f t="shared" si="4"/>
        <v/>
      </c>
      <c r="AB21" s="436" t="str">
        <f t="shared" si="4"/>
        <v/>
      </c>
      <c r="AC21" s="232"/>
    </row>
    <row r="22" spans="1:29" ht="15">
      <c r="A22" s="29" t="s">
        <v>764</v>
      </c>
      <c r="B22"/>
      <c r="C22" s="392">
        <f>INDEX(Assumptions!$A$6:$D$17,MATCH(A22,Assumptions!$A$6:$A$17,0),MATCH($C$12,Assumptions!$A$6:$D$6,0))</f>
        <v>2.3761904761904762E-2</v>
      </c>
      <c r="E22" s="29"/>
      <c r="F22" s="29" t="s">
        <v>337</v>
      </c>
      <c r="G22" s="429"/>
      <c r="H22" s="429"/>
      <c r="I22" s="429"/>
      <c r="J22" s="429"/>
      <c r="K22" s="429"/>
      <c r="L22" s="429"/>
      <c r="M22" s="429"/>
      <c r="N22" s="429"/>
      <c r="O22" s="429"/>
      <c r="P22" s="429"/>
      <c r="Q22" s="429"/>
      <c r="R22" s="429"/>
      <c r="S22" s="429"/>
      <c r="T22" s="429"/>
      <c r="U22" s="429"/>
      <c r="V22" s="429"/>
      <c r="W22" s="429"/>
      <c r="X22" s="429"/>
      <c r="Y22" s="429"/>
      <c r="Z22" s="429"/>
      <c r="AA22" s="429"/>
      <c r="AB22" s="429"/>
      <c r="AC22" s="220"/>
    </row>
    <row r="23" spans="1:29" ht="15">
      <c r="A23" s="29" t="s">
        <v>2</v>
      </c>
      <c r="B23"/>
      <c r="C23" s="392">
        <f>INDEX(Assumptions!$A$6:$D$17,MATCH(A23,Assumptions!$A$6:$A$17,0),MATCH($C$12,Assumptions!$A$6:$D$6,0))</f>
        <v>2.238095238095238E-2</v>
      </c>
      <c r="E23" s="29"/>
      <c r="F23" s="213" t="s">
        <v>338</v>
      </c>
      <c r="G23" s="434">
        <f ca="1">IF(G$4&lt;=$C$32,'Master Tab'!$F$7*(1+$C$24)^G$4,"")</f>
        <v>6368.0219801033672</v>
      </c>
      <c r="H23" s="434">
        <f ca="1">G23*$C$40</f>
        <v>4431.445432729467</v>
      </c>
      <c r="I23" s="434">
        <f ca="1">IF(I$4&lt;=$C$32,('Master Tab'!$F$7+IF(MOD(I4,Maintenance!$B$60)=0,Maintenance!$H$38,0))*(1+$C$24)^I$4,"")</f>
        <v>6450.3547273005697</v>
      </c>
      <c r="J23" s="434">
        <f ca="1">IF(J$4&lt;=$C$32,('Master Tab'!$F$7+IF(MOD(J4,Maintenance!$B$60)=0,Maintenance!$H$38,0))*(1+$C$24)^J$4,"")</f>
        <v>6533.7519622275922</v>
      </c>
      <c r="K23" s="434">
        <f ca="1">IF(K$4&lt;=$C$32,('Master Tab'!$F$7+IF(MOD(K4,Maintenance!$B$60)=0,Maintenance!$H$38,0))*(1+$C$24)^K$4,"")</f>
        <v>6618.2274477450856</v>
      </c>
      <c r="L23" s="434">
        <f ca="1">IF(L$4&lt;=$C$32,('Master Tab'!$F$7+IF(MOD(L4,Maintenance!$B$60)=0,Maintenance!$H$38,0))*(1+$C$24)^L$4,"")</f>
        <v>6703.7951246550101</v>
      </c>
      <c r="M23" s="434">
        <f ca="1">IF(M$4&lt;=$C$32,('Master Tab'!$F$7+IF(MOD(M4,Maintenance!$B$60)=0,Maintenance!$H$38,0))*(1+$C$24)^M$4,"")</f>
        <v>6790.4691140012428</v>
      </c>
      <c r="N23" s="434">
        <f ca="1">IF(N$4&lt;=$C$32,('Master Tab'!$F$7+IF(MOD(N4,Maintenance!$B$60)=0,Maintenance!$H$38,0))*(1+$C$24)^N$4,"")</f>
        <v>176434.9192197673</v>
      </c>
      <c r="O23" s="434">
        <f ca="1">IF(O$4&lt;=$C$32,('Master Tab'!$F$7+IF(MOD(O4,Maintenance!$B$60)=0,Maintenance!$H$38,0))*(1+$C$24)^O$4,"")</f>
        <v>6967.1934294000812</v>
      </c>
      <c r="P23" s="434">
        <f ca="1">IF(P$4&lt;=$C$32,('Master Tab'!$F$7+IF(MOD(P4,Maintenance!$B$60)=0,Maintenance!$H$38,0))*(1+$C$24)^P$4,"")</f>
        <v>7057.2729198743727</v>
      </c>
      <c r="Q23" s="434">
        <f ca="1">IF(Q$4&lt;=$C$32,('Master Tab'!$F$7+IF(MOD(Q4,Maintenance!$B$60)=0,Maintenance!$H$38,0))*(1+$C$24)^Q$4,"")</f>
        <v>7148.5170564412902</v>
      </c>
      <c r="R23" s="434">
        <f ca="1">IF(R$4&lt;=$C$32,('Master Tab'!$F$7+IF(MOD(R4,Maintenance!$B$60)=0,Maintenance!$H$38,0))*(1+$C$24)^R$4,"")</f>
        <v>7240.9408969182541</v>
      </c>
      <c r="S23" s="434">
        <f ca="1">IF(S$4&lt;=$C$32,('Master Tab'!$F$7+IF(MOD(S4,Maintenance!$B$60)=0,Maintenance!$H$38,0))*(1+$C$24)^S$4,"")</f>
        <v>7334.5596938066046</v>
      </c>
      <c r="T23" s="434">
        <f ca="1">IF(T$4&lt;=$C$32,('Master Tab'!$F$7+IF(MOD(T4,Maintenance!$B$60)=0,Maintenance!$H$38,0))*(1+$C$24)^T$4,"")</f>
        <v>7429.3888968086912</v>
      </c>
      <c r="U23" s="434">
        <f ca="1">IF(U$4&lt;=$C$32,('Master Tab'!$F$7+IF(MOD(U4,Maintenance!$B$60)=0,Maintenance!$H$38,0))*(1+$C$24)^U$4,"")</f>
        <v>193035.7988313261</v>
      </c>
      <c r="V23" s="434">
        <f ca="1">IF(V$4&lt;=$C$32,('Master Tab'!$F$7+IF(MOD(V4,Maintenance!$B$60)=0,Maintenance!$H$38,0))*(1+$C$24)^V$4,"")</f>
        <v>7622.7413212992278</v>
      </c>
      <c r="W23" s="434" t="str">
        <f>IF(W$4&lt;=$C$32,('Master Tab'!$F$7+IF(MOD(W4,Maintenance!$B$60)=0,Maintenance!$H$38,0))*(1+$C$24)^W$4,"")</f>
        <v/>
      </c>
      <c r="X23" s="434" t="str">
        <f>IF(X$4&lt;=$C$32,('Master Tab'!$F$7+IF(MOD(X4,Maintenance!$B$60)=0,Maintenance!$H$38,0))*(1+$C$24)^X$4,"")</f>
        <v/>
      </c>
      <c r="Y23" s="434" t="str">
        <f>IF(Y$4&lt;=$C$32,('Master Tab'!$F$7+IF(MOD(Y4,Maintenance!$B$60)=0,Maintenance!$H$38,0))*(1+$C$24)^Y$4,"")</f>
        <v/>
      </c>
      <c r="Z23" s="434" t="str">
        <f>IF(Z$4&lt;=$C$32,('Master Tab'!$F$7+IF(MOD(Z4,Maintenance!$B$60)=0,Maintenance!$H$38,0))*(1+$C$24)^Z$4,"")</f>
        <v/>
      </c>
      <c r="AA23" s="434" t="str">
        <f>IF(AA$4&lt;=$C$32,('Master Tab'!$F$7+IF(MOD(AA4,Maintenance!$B$60)=0,Maintenance!$H$38,0))*(1+$C$24)^AA$4,"")</f>
        <v/>
      </c>
      <c r="AB23" s="434" t="str">
        <f>IF(AB$4&lt;=$C$32,('Master Tab'!$F$7+IF(MOD(AB4,Maintenance!$B$60)=0,Maintenance!$H$38,0))*(1+$C$24)^AB$4,"")</f>
        <v/>
      </c>
      <c r="AC23" s="229"/>
    </row>
    <row r="24" spans="1:29" ht="15">
      <c r="A24" s="29" t="s">
        <v>690</v>
      </c>
      <c r="B24"/>
      <c r="C24" s="392">
        <f>INDEX(Assumptions!$A$6:$D$17,MATCH(A24,Assumptions!$A$6:$A$17,0),MATCH($C$12,Assumptions!$A$6:$D$6,0))</f>
        <v>1.2929092810051234E-2</v>
      </c>
      <c r="E24" s="29"/>
      <c r="F24" s="29"/>
      <c r="G24" s="435"/>
      <c r="H24" s="435"/>
      <c r="I24" s="435"/>
      <c r="J24" s="435"/>
      <c r="K24" s="435"/>
      <c r="L24" s="435"/>
      <c r="M24" s="435"/>
      <c r="N24" s="435"/>
      <c r="O24" s="435"/>
      <c r="P24" s="435"/>
      <c r="Q24" s="435"/>
      <c r="R24" s="435"/>
      <c r="S24" s="435"/>
      <c r="T24" s="435"/>
      <c r="U24" s="435"/>
      <c r="V24" s="435"/>
      <c r="W24" s="435"/>
      <c r="X24" s="435"/>
      <c r="Y24" s="435"/>
      <c r="Z24" s="435"/>
      <c r="AA24" s="435"/>
      <c r="AB24" s="435"/>
      <c r="AC24" s="215"/>
    </row>
    <row r="25" spans="1:29" ht="15">
      <c r="A25" s="29" t="s">
        <v>212</v>
      </c>
      <c r="B25"/>
      <c r="C25" s="392">
        <f>INDEX(Assumptions!$A$6:$D$17,MATCH(A25,Assumptions!$A$6:$A$17,0),MATCH($C$12,Assumptions!$A$6:$D$6,0))</f>
        <v>1.9619047619047619E-2</v>
      </c>
      <c r="E25" s="29"/>
      <c r="F25" s="29"/>
      <c r="G25" s="435"/>
      <c r="H25" s="435"/>
      <c r="I25" s="435"/>
      <c r="J25" s="435"/>
      <c r="K25" s="435"/>
      <c r="L25" s="435"/>
      <c r="M25" s="435"/>
      <c r="N25" s="435"/>
      <c r="O25" s="435"/>
      <c r="P25" s="435"/>
      <c r="Q25" s="435"/>
      <c r="R25" s="435"/>
      <c r="S25" s="435"/>
      <c r="T25" s="435"/>
      <c r="U25" s="435"/>
      <c r="V25" s="435"/>
      <c r="W25" s="435"/>
      <c r="X25" s="435"/>
      <c r="Y25" s="435"/>
      <c r="Z25" s="435"/>
      <c r="AA25" s="435"/>
      <c r="AB25" s="435"/>
      <c r="AC25" s="215"/>
    </row>
    <row r="26" spans="1:29" ht="15">
      <c r="A26" s="29"/>
      <c r="B26"/>
      <c r="C26" s="235"/>
      <c r="E26" s="29"/>
      <c r="F26" s="221" t="s">
        <v>245</v>
      </c>
      <c r="G26" s="437">
        <f ca="1">IF(G$4&lt;=$C$32,G21-G23,"")</f>
        <v>212840.8932659436</v>
      </c>
      <c r="H26" s="437">
        <f t="shared" ca="1" si="0"/>
        <v>148113.93668369774</v>
      </c>
      <c r="I26" s="437">
        <f t="shared" ref="I26:AB26" ca="1" si="5">IF(I$4&lt;=$C$32,I21-I23,"")</f>
        <v>217719.62373162282</v>
      </c>
      <c r="J26" s="437">
        <f t="shared" ca="1" si="5"/>
        <v>222708.29429163036</v>
      </c>
      <c r="K26" s="437">
        <f t="shared" ca="1" si="5"/>
        <v>227809.34870363626</v>
      </c>
      <c r="L26" s="437">
        <f t="shared" ca="1" si="5"/>
        <v>233025.2843968689</v>
      </c>
      <c r="M26" s="437">
        <f t="shared" ca="1" si="5"/>
        <v>238358.65363756035</v>
      </c>
      <c r="N26" s="437">
        <f t="shared" ca="1" si="5"/>
        <v>74255.40921904365</v>
      </c>
      <c r="O26" s="437">
        <f t="shared" ca="1" si="5"/>
        <v>249388.18317960235</v>
      </c>
      <c r="P26" s="437">
        <f t="shared" ca="1" si="5"/>
        <v>255089.73304089918</v>
      </c>
      <c r="Q26" s="437">
        <f t="shared" ca="1" si="5"/>
        <v>260919.49808039382</v>
      </c>
      <c r="R26" s="437">
        <f t="shared" ca="1" si="5"/>
        <v>266880.32312545954</v>
      </c>
      <c r="S26" s="437">
        <f t="shared" ca="1" si="5"/>
        <v>272975.11537748488</v>
      </c>
      <c r="T26" s="437">
        <f t="shared" ca="1" si="5"/>
        <v>279206.8457639821</v>
      </c>
      <c r="U26" s="437">
        <f t="shared" ca="1" si="5"/>
        <v>100068.19564371728</v>
      </c>
      <c r="V26" s="437">
        <f t="shared" ca="1" si="5"/>
        <v>292093.33159711841</v>
      </c>
      <c r="W26" s="437" t="str">
        <f t="shared" si="5"/>
        <v/>
      </c>
      <c r="X26" s="437" t="str">
        <f t="shared" si="5"/>
        <v/>
      </c>
      <c r="Y26" s="437" t="str">
        <f t="shared" si="5"/>
        <v/>
      </c>
      <c r="Z26" s="437" t="str">
        <f t="shared" si="5"/>
        <v/>
      </c>
      <c r="AA26" s="437" t="str">
        <f t="shared" si="5"/>
        <v/>
      </c>
      <c r="AB26" s="437" t="str">
        <f t="shared" si="5"/>
        <v/>
      </c>
      <c r="AC26" s="234"/>
    </row>
    <row r="27" spans="1:29" ht="15">
      <c r="A27" s="270" t="s">
        <v>254</v>
      </c>
      <c r="B27"/>
      <c r="C27" s="35"/>
      <c r="E27" s="29"/>
      <c r="F27" s="29"/>
      <c r="G27" s="434"/>
      <c r="H27" s="434"/>
      <c r="I27" s="434"/>
      <c r="J27" s="434"/>
      <c r="K27" s="434"/>
      <c r="L27" s="434"/>
      <c r="M27" s="434"/>
      <c r="N27" s="434"/>
      <c r="O27" s="434"/>
      <c r="P27" s="434"/>
      <c r="Q27" s="434"/>
      <c r="R27" s="434"/>
      <c r="S27" s="434"/>
      <c r="T27" s="434"/>
      <c r="U27" s="434"/>
      <c r="V27" s="434"/>
      <c r="W27" s="434"/>
      <c r="X27" s="434"/>
      <c r="Y27" s="434"/>
      <c r="Z27" s="434"/>
      <c r="AA27" s="434"/>
      <c r="AB27" s="434"/>
      <c r="AC27" s="216"/>
    </row>
    <row r="28" spans="1:29" ht="15">
      <c r="A28" s="256" t="s">
        <v>363</v>
      </c>
      <c r="B28"/>
      <c r="C28" s="113" t="s">
        <v>364</v>
      </c>
      <c r="E28" s="29"/>
      <c r="F28" s="213" t="s">
        <v>254</v>
      </c>
      <c r="G28" s="434">
        <f ca="1">IF(G$4&lt;=MIN($C$32,$C$29),$C$31,"")</f>
        <v>115192.20507692308</v>
      </c>
      <c r="H28" s="434">
        <f t="shared" ca="1" si="0"/>
        <v>80161.150930242366</v>
      </c>
      <c r="I28" s="434">
        <f t="shared" ref="I28:AB28" ca="1" si="6">IF(I$4&lt;=MIN($C$32,$C$29),$C$31,"")</f>
        <v>115192.20507692308</v>
      </c>
      <c r="J28" s="434">
        <f t="shared" ca="1" si="6"/>
        <v>115192.20507692308</v>
      </c>
      <c r="K28" s="434">
        <f t="shared" ca="1" si="6"/>
        <v>115192.20507692308</v>
      </c>
      <c r="L28" s="434">
        <f t="shared" ca="1" si="6"/>
        <v>115192.20507692308</v>
      </c>
      <c r="M28" s="434">
        <f t="shared" ca="1" si="6"/>
        <v>115192.20507692308</v>
      </c>
      <c r="N28" s="434">
        <f t="shared" ca="1" si="6"/>
        <v>115192.20507692308</v>
      </c>
      <c r="O28" s="434">
        <f t="shared" ca="1" si="6"/>
        <v>115192.20507692308</v>
      </c>
      <c r="P28" s="434">
        <f t="shared" ca="1" si="6"/>
        <v>115192.20507692308</v>
      </c>
      <c r="Q28" s="434">
        <f t="shared" ca="1" si="6"/>
        <v>115192.20507692308</v>
      </c>
      <c r="R28" s="434">
        <f t="shared" ca="1" si="6"/>
        <v>115192.20507692308</v>
      </c>
      <c r="S28" s="434">
        <f t="shared" ca="1" si="6"/>
        <v>115192.20507692308</v>
      </c>
      <c r="T28" s="434">
        <f t="shared" ca="1" si="6"/>
        <v>115192.20507692308</v>
      </c>
      <c r="U28" s="434">
        <f t="shared" ca="1" si="6"/>
        <v>115192.20507692308</v>
      </c>
      <c r="V28" s="434">
        <f t="shared" ca="1" si="6"/>
        <v>115192.20507692308</v>
      </c>
      <c r="W28" s="434" t="str">
        <f t="shared" si="6"/>
        <v/>
      </c>
      <c r="X28" s="434" t="str">
        <f t="shared" si="6"/>
        <v/>
      </c>
      <c r="Y28" s="434" t="str">
        <f t="shared" si="6"/>
        <v/>
      </c>
      <c r="Z28" s="434" t="str">
        <f t="shared" si="6"/>
        <v/>
      </c>
      <c r="AA28" s="434" t="str">
        <f t="shared" si="6"/>
        <v/>
      </c>
      <c r="AB28" s="434" t="str">
        <f t="shared" si="6"/>
        <v/>
      </c>
      <c r="AC28" s="229"/>
    </row>
    <row r="29" spans="1:29" ht="15">
      <c r="A29" s="29" t="s">
        <v>367</v>
      </c>
      <c r="B29"/>
      <c r="C29" s="117">
        <v>15</v>
      </c>
      <c r="E29" s="29"/>
      <c r="F29" s="213" t="s">
        <v>384</v>
      </c>
      <c r="G29" s="434">
        <f>IF(G$4&lt;=$C$29,IF(G$4=$C$32,$C$33,0),"")</f>
        <v>0</v>
      </c>
      <c r="H29" s="434">
        <f t="shared" si="0"/>
        <v>0</v>
      </c>
      <c r="I29" s="434">
        <f t="shared" ref="I29:AB29" si="7">IF(I$4&lt;=$C$29,IF(I$4=$C$32,$C$33,0),"")</f>
        <v>0</v>
      </c>
      <c r="J29" s="434">
        <f t="shared" si="7"/>
        <v>0</v>
      </c>
      <c r="K29" s="434">
        <f t="shared" si="7"/>
        <v>0</v>
      </c>
      <c r="L29" s="434">
        <f t="shared" si="7"/>
        <v>0</v>
      </c>
      <c r="M29" s="434">
        <f t="shared" si="7"/>
        <v>0</v>
      </c>
      <c r="N29" s="434">
        <f t="shared" si="7"/>
        <v>0</v>
      </c>
      <c r="O29" s="434">
        <f t="shared" si="7"/>
        <v>0</v>
      </c>
      <c r="P29" s="434">
        <f t="shared" si="7"/>
        <v>0</v>
      </c>
      <c r="Q29" s="434">
        <f t="shared" si="7"/>
        <v>0</v>
      </c>
      <c r="R29" s="434">
        <f t="shared" si="7"/>
        <v>0</v>
      </c>
      <c r="S29" s="434">
        <f t="shared" si="7"/>
        <v>0</v>
      </c>
      <c r="T29" s="434">
        <f t="shared" si="7"/>
        <v>0</v>
      </c>
      <c r="U29" s="434">
        <f t="shared" si="7"/>
        <v>0</v>
      </c>
      <c r="V29" s="434">
        <f t="shared" ca="1" si="7"/>
        <v>0</v>
      </c>
      <c r="W29" s="434" t="str">
        <f t="shared" si="7"/>
        <v/>
      </c>
      <c r="X29" s="434" t="str">
        <f t="shared" si="7"/>
        <v/>
      </c>
      <c r="Y29" s="434" t="str">
        <f t="shared" si="7"/>
        <v/>
      </c>
      <c r="Z29" s="434" t="str">
        <f t="shared" si="7"/>
        <v/>
      </c>
      <c r="AA29" s="434" t="str">
        <f t="shared" si="7"/>
        <v/>
      </c>
      <c r="AB29" s="434" t="str">
        <f t="shared" si="7"/>
        <v/>
      </c>
      <c r="AC29" s="229"/>
    </row>
    <row r="30" spans="1:29" ht="15">
      <c r="A30" s="29" t="s">
        <v>256</v>
      </c>
      <c r="B30"/>
      <c r="C30" s="117">
        <v>0</v>
      </c>
      <c r="E30" s="29"/>
      <c r="F30" s="29" t="s">
        <v>8</v>
      </c>
      <c r="G30" s="435">
        <f ca="1">IF(G$4&lt;=$C$32,SUM(G28:G29),"")</f>
        <v>115192.20507692308</v>
      </c>
      <c r="H30" s="435">
        <f t="shared" ca="1" si="0"/>
        <v>80161.150930242366</v>
      </c>
      <c r="I30" s="435">
        <f t="shared" ref="I30:AB30" ca="1" si="8">IF(I$4&lt;=$C$32,SUM(I28:I29),"")</f>
        <v>115192.20507692308</v>
      </c>
      <c r="J30" s="435">
        <f t="shared" ca="1" si="8"/>
        <v>115192.20507692308</v>
      </c>
      <c r="K30" s="435">
        <f t="shared" ca="1" si="8"/>
        <v>115192.20507692308</v>
      </c>
      <c r="L30" s="435">
        <f t="shared" ca="1" si="8"/>
        <v>115192.20507692308</v>
      </c>
      <c r="M30" s="435">
        <f t="shared" ca="1" si="8"/>
        <v>115192.20507692308</v>
      </c>
      <c r="N30" s="435">
        <f t="shared" ca="1" si="8"/>
        <v>115192.20507692308</v>
      </c>
      <c r="O30" s="435">
        <f t="shared" ca="1" si="8"/>
        <v>115192.20507692308</v>
      </c>
      <c r="P30" s="435">
        <f t="shared" ca="1" si="8"/>
        <v>115192.20507692308</v>
      </c>
      <c r="Q30" s="435">
        <f t="shared" ca="1" si="8"/>
        <v>115192.20507692308</v>
      </c>
      <c r="R30" s="435">
        <f t="shared" ca="1" si="8"/>
        <v>115192.20507692308</v>
      </c>
      <c r="S30" s="435">
        <f t="shared" ca="1" si="8"/>
        <v>115192.20507692308</v>
      </c>
      <c r="T30" s="435">
        <f t="shared" ca="1" si="8"/>
        <v>115192.20507692308</v>
      </c>
      <c r="U30" s="435">
        <f t="shared" ca="1" si="8"/>
        <v>115192.20507692308</v>
      </c>
      <c r="V30" s="435">
        <f t="shared" ca="1" si="8"/>
        <v>115192.20507692308</v>
      </c>
      <c r="W30" s="435" t="str">
        <f t="shared" si="8"/>
        <v/>
      </c>
      <c r="X30" s="435" t="str">
        <f t="shared" si="8"/>
        <v/>
      </c>
      <c r="Y30" s="435" t="str">
        <f t="shared" si="8"/>
        <v/>
      </c>
      <c r="Z30" s="435" t="str">
        <f t="shared" si="8"/>
        <v/>
      </c>
      <c r="AA30" s="435" t="str">
        <f t="shared" si="8"/>
        <v/>
      </c>
      <c r="AB30" s="435" t="str">
        <f t="shared" si="8"/>
        <v/>
      </c>
      <c r="AC30" s="215"/>
    </row>
    <row r="31" spans="1:29" ht="15">
      <c r="A31" s="29" t="s">
        <v>358</v>
      </c>
      <c r="B31"/>
      <c r="C31" s="425">
        <f ca="1">('Master Tab'!$F$6-C30)/C29</f>
        <v>115192.20507692308</v>
      </c>
      <c r="E31" s="29"/>
      <c r="F31" s="29"/>
      <c r="G31" s="434"/>
      <c r="H31" s="434"/>
      <c r="I31" s="434"/>
      <c r="J31" s="434"/>
      <c r="K31" s="434"/>
      <c r="L31" s="434"/>
      <c r="M31" s="434"/>
      <c r="N31" s="434"/>
      <c r="O31" s="434"/>
      <c r="P31" s="434"/>
      <c r="Q31" s="434"/>
      <c r="R31" s="434"/>
      <c r="S31" s="434"/>
      <c r="T31" s="434"/>
      <c r="U31" s="434"/>
      <c r="V31" s="434"/>
      <c r="W31" s="434"/>
      <c r="X31" s="434"/>
      <c r="Y31" s="434"/>
      <c r="Z31" s="434"/>
      <c r="AA31" s="434"/>
      <c r="AB31" s="434"/>
      <c r="AC31" s="216"/>
    </row>
    <row r="32" spans="1:29" ht="15">
      <c r="A32" s="29" t="s">
        <v>366</v>
      </c>
      <c r="B32"/>
      <c r="C32" s="117">
        <f>INDEX(Assumptions!$A$6:$D$58,MATCH(A32,Assumptions!$A$6:$A$58,0),MATCH($C$12,Assumptions!$A$6:$D$6,0))</f>
        <v>15</v>
      </c>
      <c r="E32" s="29"/>
      <c r="F32" s="217" t="s">
        <v>251</v>
      </c>
      <c r="G32" s="436">
        <f ca="1">IF(G$4&lt;=$C$32,G26-G30,"")</f>
        <v>97648.688189020511</v>
      </c>
      <c r="H32" s="436">
        <f t="shared" ca="1" si="0"/>
        <v>67952.785753455377</v>
      </c>
      <c r="I32" s="436">
        <f t="shared" ref="I32:AB32" ca="1" si="9">IF(I$4&lt;=$C$32,I26-I30,"")</f>
        <v>102527.41865469974</v>
      </c>
      <c r="J32" s="436">
        <f t="shared" ca="1" si="9"/>
        <v>107516.08921470727</v>
      </c>
      <c r="K32" s="436">
        <f t="shared" ca="1" si="9"/>
        <v>112617.14362671318</v>
      </c>
      <c r="L32" s="436">
        <f t="shared" ca="1" si="9"/>
        <v>117833.07931994581</v>
      </c>
      <c r="M32" s="436">
        <f t="shared" ca="1" si="9"/>
        <v>123166.44856063726</v>
      </c>
      <c r="N32" s="436">
        <f t="shared" ca="1" si="9"/>
        <v>-40936.795857879435</v>
      </c>
      <c r="O32" s="436">
        <f t="shared" ca="1" si="9"/>
        <v>134195.97810267925</v>
      </c>
      <c r="P32" s="436">
        <f t="shared" ca="1" si="9"/>
        <v>139897.52796397608</v>
      </c>
      <c r="Q32" s="436">
        <f t="shared" ca="1" si="9"/>
        <v>145727.29300347075</v>
      </c>
      <c r="R32" s="436">
        <f t="shared" ca="1" si="9"/>
        <v>151688.11804853647</v>
      </c>
      <c r="S32" s="436">
        <f t="shared" ca="1" si="9"/>
        <v>157782.91030056181</v>
      </c>
      <c r="T32" s="436">
        <f t="shared" ca="1" si="9"/>
        <v>164014.64068705903</v>
      </c>
      <c r="U32" s="436">
        <f t="shared" ca="1" si="9"/>
        <v>-15124.009433205807</v>
      </c>
      <c r="V32" s="436">
        <f t="shared" ca="1" si="9"/>
        <v>176901.12652019534</v>
      </c>
      <c r="W32" s="436" t="str">
        <f t="shared" si="9"/>
        <v/>
      </c>
      <c r="X32" s="436" t="str">
        <f t="shared" si="9"/>
        <v/>
      </c>
      <c r="Y32" s="436" t="str">
        <f t="shared" si="9"/>
        <v/>
      </c>
      <c r="Z32" s="436" t="str">
        <f t="shared" si="9"/>
        <v/>
      </c>
      <c r="AA32" s="436" t="str">
        <f t="shared" si="9"/>
        <v/>
      </c>
      <c r="AB32" s="436" t="str">
        <f t="shared" si="9"/>
        <v/>
      </c>
      <c r="AC32" s="232"/>
    </row>
    <row r="33" spans="1:29" ht="15">
      <c r="A33" s="29" t="s">
        <v>365</v>
      </c>
      <c r="B33"/>
      <c r="C33" s="425">
        <f ca="1">MAX((C29-C32)*C31,0)</f>
        <v>0</v>
      </c>
      <c r="E33" s="29"/>
      <c r="F33" s="29"/>
      <c r="G33" s="434"/>
      <c r="H33" s="434"/>
      <c r="I33" s="434"/>
      <c r="J33" s="434"/>
      <c r="K33" s="434"/>
      <c r="L33" s="434"/>
      <c r="M33" s="434"/>
      <c r="N33" s="434"/>
      <c r="O33" s="434"/>
      <c r="P33" s="434"/>
      <c r="Q33" s="434"/>
      <c r="R33" s="434"/>
      <c r="S33" s="434"/>
      <c r="T33" s="434"/>
      <c r="U33" s="434"/>
      <c r="V33" s="434"/>
      <c r="W33" s="434"/>
      <c r="X33" s="434"/>
      <c r="Y33" s="434"/>
      <c r="Z33" s="434"/>
      <c r="AA33" s="434"/>
      <c r="AB33" s="29"/>
      <c r="AC33" s="29"/>
    </row>
    <row r="34" spans="1:29">
      <c r="A34" s="29"/>
      <c r="B34" s="29"/>
      <c r="C34" s="118"/>
      <c r="E34" s="29"/>
      <c r="F34" s="29"/>
      <c r="G34" s="434"/>
      <c r="H34" s="434"/>
      <c r="I34" s="434"/>
      <c r="J34" s="434"/>
      <c r="K34" s="434"/>
      <c r="L34" s="434"/>
      <c r="M34" s="434"/>
      <c r="N34" s="434"/>
      <c r="O34" s="434"/>
      <c r="P34" s="434"/>
      <c r="Q34" s="434"/>
      <c r="R34" s="434"/>
      <c r="S34" s="434"/>
      <c r="T34" s="434"/>
      <c r="U34" s="434"/>
      <c r="V34" s="434"/>
      <c r="W34" s="434"/>
      <c r="X34" s="434"/>
      <c r="Y34" s="434"/>
      <c r="Z34" s="434"/>
      <c r="AA34" s="434"/>
      <c r="AB34" s="229"/>
      <c r="AC34" s="229"/>
    </row>
    <row r="35" spans="1:29" ht="15">
      <c r="A35" s="29"/>
      <c r="B35"/>
      <c r="C35" s="117"/>
      <c r="E35" s="29"/>
      <c r="F35" s="29"/>
      <c r="G35" s="229"/>
      <c r="H35" s="229"/>
      <c r="I35" s="229"/>
      <c r="J35" s="229"/>
      <c r="K35" s="229"/>
      <c r="L35" s="229"/>
      <c r="M35" s="229"/>
      <c r="N35" s="229"/>
      <c r="O35" s="229"/>
      <c r="P35" s="229"/>
      <c r="Q35" s="229"/>
      <c r="R35" s="229"/>
      <c r="S35" s="229"/>
      <c r="T35" s="229"/>
      <c r="U35" s="229"/>
      <c r="V35" s="229"/>
      <c r="W35" s="229"/>
      <c r="X35" s="229"/>
      <c r="Y35" s="229"/>
      <c r="Z35" s="229"/>
      <c r="AA35" s="229"/>
      <c r="AB35" s="229"/>
      <c r="AC35" s="229"/>
    </row>
    <row r="36" spans="1:29" ht="15.75" thickBot="1">
      <c r="A36" s="46" t="s">
        <v>720</v>
      </c>
      <c r="B36" s="32"/>
      <c r="C36" s="32"/>
      <c r="E36" s="266"/>
      <c r="F36" s="267"/>
      <c r="G36" s="228"/>
      <c r="H36" s="228"/>
      <c r="I36" s="228"/>
      <c r="J36" s="228"/>
      <c r="K36" s="228"/>
      <c r="L36" s="228"/>
      <c r="M36" s="228"/>
      <c r="N36" s="228"/>
      <c r="O36" s="228"/>
      <c r="P36" s="228"/>
      <c r="Q36" s="228"/>
      <c r="R36" s="228"/>
      <c r="S36" s="228"/>
      <c r="T36" s="228"/>
      <c r="U36" s="228"/>
      <c r="V36" s="228"/>
      <c r="W36" s="228"/>
      <c r="X36" s="228"/>
      <c r="Y36" s="228"/>
      <c r="Z36" s="228"/>
      <c r="AA36" s="228"/>
      <c r="AB36" s="29"/>
      <c r="AC36" s="29"/>
    </row>
    <row r="37" spans="1:29" ht="15">
      <c r="A37" s="256" t="s">
        <v>715</v>
      </c>
      <c r="B37"/>
      <c r="C37" s="504">
        <v>44743</v>
      </c>
    </row>
    <row r="38" spans="1:29" ht="15">
      <c r="A38" s="29" t="s">
        <v>719</v>
      </c>
      <c r="B38"/>
      <c r="C38" s="427">
        <f>'Load Bank Pricing Breakdown'!B40</f>
        <v>42</v>
      </c>
    </row>
    <row r="39" spans="1:29" ht="15">
      <c r="A39" s="29" t="s">
        <v>721</v>
      </c>
      <c r="B39"/>
      <c r="C39" s="505">
        <f>C37+(C38*7)</f>
        <v>45037</v>
      </c>
    </row>
    <row r="40" spans="1:29" ht="15">
      <c r="A40" s="29" t="s">
        <v>723</v>
      </c>
      <c r="B40"/>
      <c r="C40" s="508">
        <f>YEARFRAC(C39,'Helper Sheet'!B10,1)</f>
        <v>0.69589041095890414</v>
      </c>
    </row>
    <row r="41" spans="1:29" ht="15">
      <c r="A41" s="29"/>
      <c r="B41"/>
      <c r="C41"/>
    </row>
  </sheetData>
  <mergeCells count="1">
    <mergeCell ref="G2:V2"/>
  </mergeCells>
  <dataValidations count="2">
    <dataValidation type="list" allowBlank="1" showInputMessage="1" showErrorMessage="1" sqref="C20" xr:uid="{FD17C9FE-0C49-4BA1-B322-39F19BCF6474}">
      <formula1>"SAT 46, CYS08, Average"</formula1>
    </dataValidation>
    <dataValidation type="list" allowBlank="1" showInputMessage="1" showErrorMessage="1" sqref="C12" xr:uid="{459CB703-6BD5-4FA6-B072-C630A9C8FECC}">
      <formula1>"Best Case, Most Likely Case, Worst Case"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624F3-0D4E-4358-8B24-A43C6BC8CF03}">
  <sheetPr codeName="Sheet32">
    <tabColor rgb="FFFFFF00"/>
  </sheetPr>
  <dimension ref="A1:AC41"/>
  <sheetViews>
    <sheetView showGridLines="0" zoomScale="90" zoomScaleNormal="90" workbookViewId="0">
      <pane xSplit="6" ySplit="5" topLeftCell="H6" activePane="bottomRight" state="frozen"/>
      <selection activeCell="B22" sqref="B22:D22"/>
      <selection pane="topRight" activeCell="B22" sqref="B22:D22"/>
      <selection pane="bottomLeft" activeCell="B22" sqref="B22:D22"/>
      <selection pane="bottomRight" activeCell="D41" sqref="D41"/>
    </sheetView>
  </sheetViews>
  <sheetFormatPr defaultColWidth="9.140625" defaultRowHeight="14.25"/>
  <cols>
    <col min="1" max="1" width="19.85546875" style="30" customWidth="1"/>
    <col min="2" max="2" width="5.140625" style="30" customWidth="1"/>
    <col min="3" max="3" width="17.85546875" style="30" customWidth="1"/>
    <col min="4" max="4" width="9.140625" style="30"/>
    <col min="5" max="5" width="2.85546875" style="30" customWidth="1"/>
    <col min="6" max="6" width="31.140625" style="30" customWidth="1"/>
    <col min="7" max="7" width="10.140625" style="30" hidden="1" customWidth="1"/>
    <col min="8" max="8" width="10.85546875" style="30" bestFit="1" customWidth="1"/>
    <col min="9" max="28" width="10.140625" style="30" customWidth="1"/>
    <col min="29" max="29" width="14.7109375" style="30" bestFit="1" customWidth="1"/>
    <col min="30" max="16384" width="9.140625" style="30"/>
  </cols>
  <sheetData>
    <row r="1" spans="1:29" s="3" customFormat="1" ht="32.25">
      <c r="A1" s="1"/>
      <c r="B1" s="2"/>
      <c r="C1" s="2"/>
      <c r="D1" s="30"/>
      <c r="E1" s="1" t="s">
        <v>637</v>
      </c>
      <c r="F1" s="2"/>
      <c r="G1" s="2"/>
      <c r="H1" s="2"/>
      <c r="I1" s="2"/>
      <c r="J1" s="2"/>
      <c r="K1" s="2"/>
      <c r="L1" s="2"/>
      <c r="M1" s="2"/>
      <c r="N1" s="2"/>
      <c r="O1" s="2"/>
      <c r="P1" s="2"/>
      <c r="Q1" s="2"/>
      <c r="R1" s="2"/>
      <c r="S1" s="2"/>
      <c r="T1" s="2"/>
      <c r="U1" s="2"/>
      <c r="V1" s="2"/>
      <c r="W1" s="2"/>
      <c r="X1" s="2"/>
      <c r="Y1" s="2"/>
      <c r="Z1" s="2"/>
      <c r="AA1" s="2"/>
      <c r="AB1" s="2"/>
      <c r="AC1" s="2"/>
    </row>
    <row r="2" spans="1:29" s="3" customFormat="1" ht="26.25">
      <c r="A2" s="27" t="s">
        <v>15</v>
      </c>
      <c r="B2" s="2"/>
      <c r="C2" s="2"/>
      <c r="D2" s="30"/>
      <c r="E2" s="4"/>
      <c r="F2" s="332" t="s">
        <v>700</v>
      </c>
      <c r="G2" s="560" t="s">
        <v>333</v>
      </c>
      <c r="H2" s="560"/>
      <c r="I2" s="560"/>
      <c r="J2" s="560"/>
      <c r="K2" s="560"/>
      <c r="L2" s="560"/>
      <c r="M2" s="560"/>
      <c r="N2" s="560"/>
      <c r="O2" s="560"/>
      <c r="P2" s="560"/>
      <c r="Q2" s="560"/>
      <c r="R2" s="560"/>
      <c r="S2" s="560"/>
      <c r="T2" s="560"/>
      <c r="U2" s="560"/>
      <c r="V2" s="560"/>
      <c r="W2" s="2"/>
      <c r="X2" s="2"/>
      <c r="Y2" s="2"/>
      <c r="Z2" s="2"/>
      <c r="AA2" s="2"/>
      <c r="AB2" s="2"/>
      <c r="AC2" s="2"/>
    </row>
    <row r="3" spans="1:29" ht="24" thickBot="1">
      <c r="A3" s="46" t="s">
        <v>74</v>
      </c>
      <c r="B3" s="32"/>
      <c r="C3" s="32"/>
      <c r="E3" s="212"/>
      <c r="F3" s="29"/>
      <c r="G3" s="29"/>
      <c r="H3" s="29"/>
      <c r="I3" s="29"/>
      <c r="J3" s="29"/>
      <c r="K3" s="29"/>
      <c r="L3" s="29"/>
      <c r="M3" s="29"/>
      <c r="N3" s="29"/>
      <c r="O3" s="29"/>
      <c r="P3" s="29"/>
      <c r="Q3" s="29"/>
      <c r="R3" s="29"/>
      <c r="S3" s="29"/>
      <c r="T3" s="29"/>
      <c r="U3" s="29"/>
      <c r="V3" s="29"/>
      <c r="W3" s="29"/>
      <c r="X3" s="29"/>
      <c r="Y3" s="29"/>
      <c r="Z3" s="29"/>
      <c r="AA3" s="29"/>
      <c r="AB3" s="29"/>
      <c r="AC3" s="29"/>
    </row>
    <row r="4" spans="1:29" ht="15">
      <c r="A4" s="29" t="s">
        <v>453</v>
      </c>
      <c r="B4"/>
      <c r="C4" s="117">
        <f>HLOOKUP($C$12,Assumptions!$B$6:$D$8,3,FALSE)</f>
        <v>2</v>
      </c>
      <c r="E4" s="29"/>
      <c r="F4" s="238" t="s">
        <v>122</v>
      </c>
      <c r="G4" s="225">
        <v>1</v>
      </c>
      <c r="H4" s="225">
        <v>1</v>
      </c>
      <c r="I4" s="225">
        <v>2</v>
      </c>
      <c r="J4" s="225">
        <v>3</v>
      </c>
      <c r="K4" s="225">
        <v>4</v>
      </c>
      <c r="L4" s="225">
        <v>5</v>
      </c>
      <c r="M4" s="225">
        <v>6</v>
      </c>
      <c r="N4" s="225">
        <v>7</v>
      </c>
      <c r="O4" s="225">
        <v>8</v>
      </c>
      <c r="P4" s="225">
        <v>9</v>
      </c>
      <c r="Q4" s="225">
        <v>10</v>
      </c>
      <c r="R4" s="225">
        <v>11</v>
      </c>
      <c r="S4" s="225">
        <v>12</v>
      </c>
      <c r="T4" s="225">
        <v>13</v>
      </c>
      <c r="U4" s="225">
        <v>14</v>
      </c>
      <c r="V4" s="225">
        <v>15</v>
      </c>
      <c r="W4" s="225">
        <v>16</v>
      </c>
      <c r="X4" s="225">
        <v>17</v>
      </c>
      <c r="Y4" s="225">
        <v>18</v>
      </c>
      <c r="Z4" s="225">
        <v>19</v>
      </c>
      <c r="AA4" s="225">
        <v>20</v>
      </c>
      <c r="AB4" s="225">
        <v>21</v>
      </c>
      <c r="AC4" s="225"/>
    </row>
    <row r="5" spans="1:29" ht="15.75" thickBot="1">
      <c r="A5" s="29" t="s">
        <v>454</v>
      </c>
      <c r="B5"/>
      <c r="C5" s="117">
        <v>0</v>
      </c>
      <c r="E5" s="29"/>
      <c r="F5" s="32"/>
      <c r="G5" s="251">
        <v>2023</v>
      </c>
      <c r="H5" s="251">
        <v>2023</v>
      </c>
      <c r="I5" s="251">
        <v>2024</v>
      </c>
      <c r="J5" s="251">
        <v>2025</v>
      </c>
      <c r="K5" s="251">
        <v>2026</v>
      </c>
      <c r="L5" s="251">
        <v>2027</v>
      </c>
      <c r="M5" s="251">
        <v>2028</v>
      </c>
      <c r="N5" s="251">
        <v>2029</v>
      </c>
      <c r="O5" s="251">
        <v>2030</v>
      </c>
      <c r="P5" s="251">
        <v>2031</v>
      </c>
      <c r="Q5" s="251">
        <v>2032</v>
      </c>
      <c r="R5" s="251">
        <v>2033</v>
      </c>
      <c r="S5" s="251">
        <v>2034</v>
      </c>
      <c r="T5" s="251">
        <v>2035</v>
      </c>
      <c r="U5" s="251">
        <v>2036</v>
      </c>
      <c r="V5" s="251">
        <v>2037</v>
      </c>
      <c r="W5" s="251">
        <v>2038</v>
      </c>
      <c r="X5" s="251">
        <v>2039</v>
      </c>
      <c r="Y5" s="251">
        <v>2040</v>
      </c>
      <c r="Z5" s="251">
        <v>2041</v>
      </c>
      <c r="AA5" s="251">
        <v>2042</v>
      </c>
      <c r="AB5" s="251">
        <v>2041</v>
      </c>
      <c r="AC5" s="251"/>
    </row>
    <row r="6" spans="1:29" ht="15">
      <c r="A6"/>
      <c r="B6"/>
      <c r="C6" s="117"/>
      <c r="E6" s="29"/>
      <c r="F6" s="29"/>
      <c r="G6" s="228"/>
      <c r="H6" s="228"/>
      <c r="I6" s="228"/>
      <c r="J6" s="228"/>
      <c r="K6" s="29"/>
      <c r="L6" s="29"/>
      <c r="M6" s="29"/>
      <c r="N6" s="29"/>
      <c r="O6" s="29"/>
      <c r="P6" s="29"/>
      <c r="Q6" s="29"/>
      <c r="R6" s="29"/>
      <c r="S6" s="29"/>
      <c r="T6" s="29"/>
      <c r="U6" s="29"/>
      <c r="V6" s="29"/>
      <c r="W6" s="29"/>
      <c r="X6" s="29"/>
      <c r="Y6" s="29"/>
      <c r="Z6" s="29"/>
      <c r="AA6" s="29"/>
      <c r="AB6" s="29"/>
      <c r="AC6" s="29"/>
    </row>
    <row r="7" spans="1:29" ht="15">
      <c r="A7" s="270" t="s">
        <v>223</v>
      </c>
      <c r="B7" s="295"/>
      <c r="C7" s="117"/>
      <c r="E7" s="29"/>
      <c r="F7" s="29" t="s">
        <v>243</v>
      </c>
      <c r="G7" s="228"/>
      <c r="H7" s="228"/>
      <c r="I7" s="228"/>
      <c r="J7" s="228"/>
      <c r="K7" s="29"/>
      <c r="L7" s="29"/>
      <c r="M7" s="29"/>
      <c r="N7" s="29"/>
      <c r="O7" s="29"/>
      <c r="P7" s="29"/>
      <c r="Q7" s="29"/>
      <c r="R7" s="29"/>
      <c r="S7" s="29"/>
      <c r="T7" s="29"/>
      <c r="U7" s="29"/>
      <c r="V7" s="29"/>
      <c r="W7" s="29"/>
      <c r="X7" s="29"/>
      <c r="Y7" s="29"/>
      <c r="Z7" s="29"/>
      <c r="AA7" s="29"/>
      <c r="AB7" s="29"/>
      <c r="AC7" s="29"/>
    </row>
    <row r="8" spans="1:29" ht="15">
      <c r="A8" s="29" t="s">
        <v>799</v>
      </c>
      <c r="B8"/>
      <c r="C8" s="393">
        <v>0</v>
      </c>
      <c r="E8" s="29"/>
      <c r="F8" s="213" t="s">
        <v>330</v>
      </c>
      <c r="G8" s="434">
        <f ca="1">IF(G$4&lt;=$C$32,-'Master Tab'!$F$11*(1+INDEX('Growth Rate Predictions'!$C$47:$X$52,MATCH($A$21,'Growth Rate Predictions'!$C$47:$C$52,0),MATCH(G$5,'Growth Rate Predictions'!$C$47:$X$47,0))),"")</f>
        <v>270760.44710618764</v>
      </c>
      <c r="H8" s="434">
        <f ca="1">G8*$C$40</f>
        <v>188419.59880814154</v>
      </c>
      <c r="I8" s="434">
        <f ca="1">IF(I$4&lt;=$C$32,G8*(1+INDEX('Growth Rate Predictions'!$C$47:$X$52,MATCH($A$21,'Growth Rate Predictions'!$C$47:$C$52,0),MATCH(I$5,'Growth Rate Predictions'!$C$47:$X$47,0))),"")</f>
        <v>279154.02096647944</v>
      </c>
      <c r="J8" s="434">
        <f ca="1">IF(J$4&lt;=$C$32,I8*(1+INDEX('Growth Rate Predictions'!$C$47:$X$52,MATCH($A$21,'Growth Rate Predictions'!$C$47:$C$52,0),MATCH(J$5,'Growth Rate Predictions'!$C$47:$X$47,0))),"")</f>
        <v>286970.33355354087</v>
      </c>
      <c r="K8" s="434">
        <f ca="1">IF(K$4&lt;=$C$32,J8*(1+INDEX('Growth Rate Predictions'!$C$47:$X$52,MATCH($A$21,'Growth Rate Predictions'!$C$47:$C$52,0),MATCH(K$5,'Growth Rate Predictions'!$C$47:$X$47,0))),"")</f>
        <v>294144.59189237939</v>
      </c>
      <c r="L8" s="434">
        <f ca="1">IF(L$4&lt;=$C$32,K8*(1+INDEX('Growth Rate Predictions'!$C$47:$X$52,MATCH($A$21,'Growth Rate Predictions'!$C$47:$C$52,0),MATCH(L$5,'Growth Rate Predictions'!$C$47:$X$47,0))),"")</f>
        <v>300027.48373022699</v>
      </c>
      <c r="M8" s="434">
        <f ca="1">IF(M$4&lt;=$C$32,L8*(1+INDEX('Growth Rate Predictions'!$C$47:$X$52,MATCH($A$21,'Growth Rate Predictions'!$C$47:$C$52,0),MATCH(M$5,'Growth Rate Predictions'!$C$47:$X$47,0))),"")</f>
        <v>306028.03340483154</v>
      </c>
      <c r="N8" s="434">
        <f ca="1">IF(N$4&lt;=$C$32,M8*(1+INDEX('Growth Rate Predictions'!$C$47:$X$52,MATCH($A$21,'Growth Rate Predictions'!$C$47:$C$52,0),MATCH(N$5,'Growth Rate Predictions'!$C$47:$X$47,0))),"")</f>
        <v>312148.59407292819</v>
      </c>
      <c r="O8" s="434">
        <f ca="1">IF(O$4&lt;=$C$32,N8*(1+INDEX('Growth Rate Predictions'!$C$47:$X$52,MATCH($A$21,'Growth Rate Predictions'!$C$47:$C$52,0),MATCH(O$5,'Growth Rate Predictions'!$C$47:$X$47,0))),"")</f>
        <v>318391.56595438678</v>
      </c>
      <c r="P8" s="434">
        <f ca="1">IF(P$4&lt;=$C$32,O8*(1+INDEX('Growth Rate Predictions'!$C$47:$X$52,MATCH($A$21,'Growth Rate Predictions'!$C$47:$C$52,0),MATCH(P$5,'Growth Rate Predictions'!$C$47:$X$47,0))),"")</f>
        <v>324759.39727347455</v>
      </c>
      <c r="Q8" s="434">
        <f ca="1">IF(Q$4&lt;=$C$32,P8*(1+INDEX('Growth Rate Predictions'!$C$47:$X$52,MATCH($A$21,'Growth Rate Predictions'!$C$47:$C$52,0),MATCH(Q$5,'Growth Rate Predictions'!$C$47:$X$47,0))),"")</f>
        <v>331254.58521894406</v>
      </c>
      <c r="R8" s="434">
        <f ca="1">IF(R$4&lt;=$C$32,Q8*(1+INDEX('Growth Rate Predictions'!$C$47:$X$52,MATCH($A$21,'Growth Rate Predictions'!$C$47:$C$52,0),MATCH(R$5,'Growth Rate Predictions'!$C$47:$X$47,0))),"")</f>
        <v>337879.67692332296</v>
      </c>
      <c r="S8" s="434">
        <f ca="1">IF(S$4&lt;=$C$32,R8*(1+INDEX('Growth Rate Predictions'!$C$47:$X$52,MATCH($A$21,'Growth Rate Predictions'!$C$47:$C$52,0),MATCH(S$5,'Growth Rate Predictions'!$C$47:$X$47,0))),"")</f>
        <v>344637.27046178945</v>
      </c>
      <c r="T8" s="434">
        <f ca="1">IF(T$4&lt;=$C$32,S8*(1+INDEX('Growth Rate Predictions'!$C$47:$X$52,MATCH($A$21,'Growth Rate Predictions'!$C$47:$C$52,0),MATCH(T$5,'Growth Rate Predictions'!$C$47:$X$47,0))),"")</f>
        <v>351530.01587102527</v>
      </c>
      <c r="U8" s="434">
        <f ca="1">IF(U$4&lt;=$C$32,T8*(1+INDEX('Growth Rate Predictions'!$C$47:$X$52,MATCH($A$21,'Growth Rate Predictions'!$C$47:$C$52,0),MATCH(U$5,'Growth Rate Predictions'!$C$47:$X$47,0))),"")</f>
        <v>358560.61618844577</v>
      </c>
      <c r="V8" s="434">
        <f ca="1">IF(V$4&lt;=$C$32,U8*(1+INDEX('Growth Rate Predictions'!$C$47:$X$52,MATCH($A$21,'Growth Rate Predictions'!$C$47:$C$52,0),MATCH(V$5,'Growth Rate Predictions'!$C$47:$X$47,0))),"")</f>
        <v>365731.82851221471</v>
      </c>
      <c r="W8" s="434">
        <f ca="1">IF(W$4&lt;=$C$32,V8*(1+INDEX('Growth Rate Predictions'!$C$47:$X$52,MATCH($A$21,'Growth Rate Predictions'!$C$47:$C$52,0),MATCH(W$5,'Growth Rate Predictions'!$C$47:$X$47,0))),"")</f>
        <v>373046.46508245904</v>
      </c>
      <c r="X8" s="434">
        <f ca="1">IF(X$4&lt;=$C$32,W8*(1+INDEX('Growth Rate Predictions'!$C$47:$X$52,MATCH($A$21,'Growth Rate Predictions'!$C$47:$C$52,0),MATCH(X$5,'Growth Rate Predictions'!$C$47:$X$47,0))),"")</f>
        <v>380507.39438410825</v>
      </c>
      <c r="Y8" s="434">
        <f ca="1">IF(Y$4&lt;=$C$32,X8*(1+INDEX('Growth Rate Predictions'!$C$47:$X$52,MATCH($A$21,'Growth Rate Predictions'!$C$47:$C$52,0),MATCH(Y$5,'Growth Rate Predictions'!$C$47:$X$47,0))),"")</f>
        <v>388117.54227179044</v>
      </c>
      <c r="Z8" s="434">
        <f ca="1">IF(Z$4&lt;=$C$32,Y8*(1+INDEX('Growth Rate Predictions'!$C$47:$X$52,MATCH($A$21,'Growth Rate Predictions'!$C$47:$C$52,0),MATCH(Z$5,'Growth Rate Predictions'!$C$47:$X$47,0))),"")</f>
        <v>395879.89311722625</v>
      </c>
      <c r="AA8" s="434">
        <f ca="1">IF(AA$4&lt;=$C$32,Z8*(1+INDEX('Growth Rate Predictions'!$C$47:$X$52,MATCH($A$21,'Growth Rate Predictions'!$C$47:$C$52,0),MATCH(AA$5,'Growth Rate Predictions'!$C$47:$X$47,0))),"")</f>
        <v>403797.49097957078</v>
      </c>
      <c r="AB8" s="434" t="str">
        <f>IF(AB$4&lt;=$C$32,AA8*(1+INDEX('Growth Rate Predictions'!$C$47:$X$52,MATCH($A$21,'Growth Rate Predictions'!$C$47:$C$52,0),MATCH(AB$5,'Growth Rate Predictions'!$C$47:$X$47,0))),"")</f>
        <v/>
      </c>
      <c r="AC8" s="229"/>
    </row>
    <row r="9" spans="1:29" ht="15">
      <c r="A9" s="29" t="s">
        <v>800</v>
      </c>
      <c r="B9"/>
      <c r="C9" s="393">
        <f>INDEX(Assumptions!$A$6:$D$54,MATCH(A9,Assumptions!$A$6:$A$54,0),MATCH($C$12,Assumptions!$A$6:$D$6,0))</f>
        <v>68</v>
      </c>
      <c r="E9" s="29"/>
      <c r="F9" s="213" t="s">
        <v>638</v>
      </c>
      <c r="G9" s="434">
        <f ca="1">G14</f>
        <v>307087.5075971944</v>
      </c>
      <c r="H9" s="434">
        <f t="shared" ref="H9:H33" ca="1" si="0">G9*$C$40</f>
        <v>213699.25186215722</v>
      </c>
      <c r="I9" s="434">
        <f ca="1">I14</f>
        <v>315495.85601949849</v>
      </c>
      <c r="J9" s="434">
        <f t="shared" ref="J9:AB9" ca="1" si="1">J14</f>
        <v>324134.43302955612</v>
      </c>
      <c r="K9" s="434">
        <f t="shared" ca="1" si="1"/>
        <v>333009.54250536539</v>
      </c>
      <c r="L9" s="434">
        <f t="shared" ca="1" si="1"/>
        <v>342127.66093110753</v>
      </c>
      <c r="M9" s="434">
        <f t="shared" ca="1" si="1"/>
        <v>351495.44212326873</v>
      </c>
      <c r="N9" s="434">
        <f t="shared" ca="1" si="1"/>
        <v>361119.72208616772</v>
      </c>
      <c r="O9" s="434">
        <f t="shared" ca="1" si="1"/>
        <v>371007.52400043176</v>
      </c>
      <c r="P9" s="434">
        <f t="shared" ca="1" si="1"/>
        <v>381166.06334806257</v>
      </c>
      <c r="Q9" s="434">
        <f t="shared" ca="1" si="1"/>
        <v>391602.75317783089</v>
      </c>
      <c r="R9" s="434">
        <f t="shared" ca="1" si="1"/>
        <v>402325.20951484283</v>
      </c>
      <c r="S9" s="434">
        <f t="shared" ca="1" si="1"/>
        <v>413341.2569182255</v>
      </c>
      <c r="T9" s="434">
        <f t="shared" ca="1" si="1"/>
        <v>424658.93419098639</v>
      </c>
      <c r="U9" s="434">
        <f t="shared" ca="1" si="1"/>
        <v>436286.50024621567</v>
      </c>
      <c r="V9" s="434">
        <f t="shared" ca="1" si="1"/>
        <v>448232.44013390958</v>
      </c>
      <c r="W9" s="434">
        <f t="shared" ca="1" si="1"/>
        <v>460505.47123281419</v>
      </c>
      <c r="X9" s="434">
        <f t="shared" ca="1" si="1"/>
        <v>473114.54961180792</v>
      </c>
      <c r="Y9" s="434">
        <f t="shared" ca="1" si="1"/>
        <v>486068.87656546448</v>
      </c>
      <c r="Z9" s="434">
        <f t="shared" ca="1" si="1"/>
        <v>499377.90532856638</v>
      </c>
      <c r="AA9" s="434">
        <f t="shared" ca="1" si="1"/>
        <v>513051.34797446756</v>
      </c>
      <c r="AB9" s="434" t="str">
        <f t="shared" si="1"/>
        <v/>
      </c>
      <c r="AC9" s="229"/>
    </row>
    <row r="10" spans="1:29" ht="15">
      <c r="A10" s="29"/>
      <c r="B10"/>
      <c r="C10" s="64"/>
      <c r="E10" s="29"/>
      <c r="F10" s="29" t="s">
        <v>8</v>
      </c>
      <c r="G10" s="435">
        <f ca="1">IF(G$4&lt;=$C$32,SUM(G8:G9),"")</f>
        <v>577847.95470338198</v>
      </c>
      <c r="H10" s="435">
        <f t="shared" ca="1" si="0"/>
        <v>402118.85067029874</v>
      </c>
      <c r="I10" s="435">
        <f t="shared" ref="I10:AB10" ca="1" si="2">IF(I$4&lt;=$C$32,SUM(I8:I9),"")</f>
        <v>594649.87698597787</v>
      </c>
      <c r="J10" s="435">
        <f t="shared" ca="1" si="2"/>
        <v>611104.76658309693</v>
      </c>
      <c r="K10" s="435">
        <f t="shared" ca="1" si="2"/>
        <v>627154.13439774478</v>
      </c>
      <c r="L10" s="435">
        <f t="shared" ca="1" si="2"/>
        <v>642155.14466133458</v>
      </c>
      <c r="M10" s="435">
        <f t="shared" ca="1" si="2"/>
        <v>657523.47552810027</v>
      </c>
      <c r="N10" s="435">
        <f t="shared" ca="1" si="2"/>
        <v>673268.31615909585</v>
      </c>
      <c r="O10" s="435">
        <f t="shared" ca="1" si="2"/>
        <v>689399.0899548186</v>
      </c>
      <c r="P10" s="435">
        <f t="shared" ca="1" si="2"/>
        <v>705925.46062153718</v>
      </c>
      <c r="Q10" s="435">
        <f t="shared" ca="1" si="2"/>
        <v>722857.33839677495</v>
      </c>
      <c r="R10" s="435">
        <f t="shared" ca="1" si="2"/>
        <v>740204.88643816579</v>
      </c>
      <c r="S10" s="435">
        <f t="shared" ca="1" si="2"/>
        <v>757978.527380015</v>
      </c>
      <c r="T10" s="435">
        <f t="shared" ca="1" si="2"/>
        <v>776188.9500620116</v>
      </c>
      <c r="U10" s="435">
        <f t="shared" ca="1" si="2"/>
        <v>794847.11643466144</v>
      </c>
      <c r="V10" s="435">
        <f t="shared" ca="1" si="2"/>
        <v>813964.26864612428</v>
      </c>
      <c r="W10" s="435">
        <f t="shared" ca="1" si="2"/>
        <v>833551.93631527317</v>
      </c>
      <c r="X10" s="435">
        <f t="shared" ca="1" si="2"/>
        <v>853621.94399591617</v>
      </c>
      <c r="Y10" s="435">
        <f t="shared" ca="1" si="2"/>
        <v>874186.41883725487</v>
      </c>
      <c r="Z10" s="435">
        <f t="shared" ca="1" si="2"/>
        <v>895257.79844579264</v>
      </c>
      <c r="AA10" s="435">
        <f t="shared" ca="1" si="2"/>
        <v>916848.83895403834</v>
      </c>
      <c r="AB10" s="435" t="str">
        <f t="shared" si="2"/>
        <v/>
      </c>
      <c r="AC10" s="435"/>
    </row>
    <row r="11" spans="1:29" ht="15.75" thickBot="1">
      <c r="A11" s="46" t="s">
        <v>353</v>
      </c>
      <c r="B11" s="32"/>
      <c r="C11" s="32"/>
      <c r="E11" s="29"/>
      <c r="F11" s="29"/>
      <c r="G11" s="434"/>
      <c r="H11" s="434"/>
      <c r="I11" s="434"/>
      <c r="J11" s="434"/>
      <c r="K11" s="434"/>
      <c r="L11" s="434"/>
      <c r="M11" s="434"/>
      <c r="N11" s="434"/>
      <c r="O11" s="434"/>
      <c r="P11" s="434"/>
      <c r="Q11" s="434"/>
      <c r="R11" s="434"/>
      <c r="S11" s="434"/>
      <c r="T11" s="434"/>
      <c r="U11" s="434"/>
      <c r="V11" s="434"/>
      <c r="W11" s="434"/>
      <c r="X11" s="434"/>
      <c r="Y11" s="434"/>
      <c r="Z11" s="434"/>
      <c r="AA11" s="434"/>
      <c r="AB11" s="434"/>
      <c r="AC11" s="229"/>
    </row>
    <row r="12" spans="1:29" ht="15">
      <c r="A12" s="256" t="s">
        <v>392</v>
      </c>
      <c r="B12"/>
      <c r="C12" s="394" t="s">
        <v>393</v>
      </c>
      <c r="E12" s="29"/>
      <c r="F12" s="29" t="s">
        <v>248</v>
      </c>
      <c r="G12" s="434"/>
      <c r="H12" s="434"/>
      <c r="I12" s="434"/>
      <c r="J12" s="434"/>
      <c r="K12" s="434"/>
      <c r="L12" s="434"/>
      <c r="M12" s="434"/>
      <c r="N12" s="434"/>
      <c r="O12" s="434"/>
      <c r="P12" s="434"/>
      <c r="Q12" s="434"/>
      <c r="R12" s="434"/>
      <c r="S12" s="434"/>
      <c r="T12" s="434"/>
      <c r="U12" s="434"/>
      <c r="V12" s="434"/>
      <c r="W12" s="434"/>
      <c r="X12" s="434"/>
      <c r="Y12" s="434"/>
      <c r="Z12" s="434"/>
      <c r="AA12" s="434"/>
      <c r="AB12" s="434"/>
      <c r="AC12" s="230"/>
    </row>
    <row r="13" spans="1:29">
      <c r="A13" s="256" t="s">
        <v>712</v>
      </c>
      <c r="B13" s="256"/>
      <c r="C13" s="118">
        <f>INDEX(Assumptions!$A$6:$D$58,MATCH(A13,Assumptions!$A$6:$A$58,0),MATCH($C$12,Assumptions!$A$6:$D$6,0))</f>
        <v>0.65</v>
      </c>
      <c r="E13" s="29"/>
      <c r="F13" s="213" t="s">
        <v>336</v>
      </c>
      <c r="G13" s="434">
        <f ca="1">IF(G$4&lt;=$C$32,(-'Master Tab'!$I$21)*(1+INDEX('Growth Rate Predictions'!$C$47:$X$52,MATCH($A$21,'Growth Rate Predictions'!$C$47:$C$52,0),MATCH(G$5,'Growth Rate Predictions'!$C$47:$X$47,0))),"")</f>
        <v>-312652.80147763493</v>
      </c>
      <c r="H13" s="434">
        <f ca="1">G13*$C$40</f>
        <v>-217572.08650772405</v>
      </c>
      <c r="I13" s="434">
        <f ca="1">IF(I$4&lt;=$C$32,(G13)*(1+INDEX('Growth Rate Predictions'!$C$47:$X$52,MATCH($A$21,'Growth Rate Predictions'!$C$47:$C$52,0),MATCH(I$5,'Growth Rate Predictions'!$C$47:$X$47,0))),"")</f>
        <v>-322345.03832344158</v>
      </c>
      <c r="J13" s="434">
        <f ca="1">IF(J$4&lt;=$C$32,(I13)*(1+INDEX('Growth Rate Predictions'!$C$47:$X$52,MATCH($A$21,'Growth Rate Predictions'!$C$47:$C$52,0),MATCH(J$5,'Growth Rate Predictions'!$C$47:$X$47,0))),"")</f>
        <v>-331370.69939649798</v>
      </c>
      <c r="K13" s="434">
        <f ca="1">IF(K$4&lt;=$C$32,(J13)*(1+INDEX('Growth Rate Predictions'!$C$47:$X$52,MATCH($A$21,'Growth Rate Predictions'!$C$47:$C$52,0),MATCH(K$5,'Growth Rate Predictions'!$C$47:$X$47,0))),"")</f>
        <v>-339654.96688141039</v>
      </c>
      <c r="L13" s="434">
        <f ca="1">IF(L$4&lt;=$C$32,(K13)*(1+INDEX('Growth Rate Predictions'!$C$47:$X$52,MATCH($A$21,'Growth Rate Predictions'!$C$47:$C$52,0),MATCH(L$5,'Growth Rate Predictions'!$C$47:$X$47,0))),"")</f>
        <v>-346448.06621903862</v>
      </c>
      <c r="M13" s="434">
        <f ca="1">IF(M$4&lt;=$C$32,(L13)*(1+INDEX('Growth Rate Predictions'!$C$47:$X$52,MATCH($A$21,'Growth Rate Predictions'!$C$47:$C$52,0),MATCH(M$5,'Growth Rate Predictions'!$C$47:$X$47,0))),"")</f>
        <v>-353377.02754341939</v>
      </c>
      <c r="N13" s="434">
        <f ca="1">IF(N$4&lt;=$C$32,(M13)*(1+INDEX('Growth Rate Predictions'!$C$47:$X$52,MATCH($A$21,'Growth Rate Predictions'!$C$47:$C$52,0),MATCH(N$5,'Growth Rate Predictions'!$C$47:$X$47,0))),"")</f>
        <v>-360444.56809428777</v>
      </c>
      <c r="O13" s="434">
        <f ca="1">IF(O$4&lt;=$C$32,(N13)*(1+INDEX('Growth Rate Predictions'!$C$47:$X$52,MATCH($A$21,'Growth Rate Predictions'!$C$47:$C$52,0),MATCH(O$5,'Growth Rate Predictions'!$C$47:$X$47,0))),"")</f>
        <v>-367653.45945617353</v>
      </c>
      <c r="P13" s="434">
        <f ca="1">IF(P$4&lt;=$C$32,(O13)*(1+INDEX('Growth Rate Predictions'!$C$47:$X$52,MATCH($A$21,'Growth Rate Predictions'!$C$47:$C$52,0),MATCH(P$5,'Growth Rate Predictions'!$C$47:$X$47,0))),"")</f>
        <v>-375006.52864529699</v>
      </c>
      <c r="Q13" s="434">
        <f ca="1">IF(Q$4&lt;=$C$32,(P13)*(1+INDEX('Growth Rate Predictions'!$C$47:$X$52,MATCH($A$21,'Growth Rate Predictions'!$C$47:$C$52,0),MATCH(Q$5,'Growth Rate Predictions'!$C$47:$X$47,0))),"")</f>
        <v>-382506.65921820293</v>
      </c>
      <c r="R13" s="434">
        <f ca="1">IF(R$4&lt;=$C$32,(Q13)*(1+INDEX('Growth Rate Predictions'!$C$47:$X$52,MATCH($A$21,'Growth Rate Predictions'!$C$47:$C$52,0),MATCH(R$5,'Growth Rate Predictions'!$C$47:$X$47,0))),"")</f>
        <v>-390156.79240256699</v>
      </c>
      <c r="S13" s="434">
        <f ca="1">IF(S$4&lt;=$C$32,(R13)*(1+INDEX('Growth Rate Predictions'!$C$47:$X$52,MATCH($A$21,'Growth Rate Predictions'!$C$47:$C$52,0),MATCH(S$5,'Growth Rate Predictions'!$C$47:$X$47,0))),"")</f>
        <v>-397959.92825061834</v>
      </c>
      <c r="T13" s="434">
        <f ca="1">IF(T$4&lt;=$C$32,(S13)*(1+INDEX('Growth Rate Predictions'!$C$47:$X$52,MATCH($A$21,'Growth Rate Predictions'!$C$47:$C$52,0),MATCH(T$5,'Growth Rate Predictions'!$C$47:$X$47,0))),"")</f>
        <v>-405919.12681563071</v>
      </c>
      <c r="U13" s="434">
        <f ca="1">IF(U$4&lt;=$C$32,(T13)*(1+INDEX('Growth Rate Predictions'!$C$47:$X$52,MATCH($A$21,'Growth Rate Predictions'!$C$47:$C$52,0),MATCH(U$5,'Growth Rate Predictions'!$C$47:$X$47,0))),"")</f>
        <v>-414037.50935194333</v>
      </c>
      <c r="V13" s="434">
        <f ca="1">IF(V$4&lt;=$C$32,(U13)*(1+INDEX('Growth Rate Predictions'!$C$47:$X$52,MATCH($A$21,'Growth Rate Predictions'!$C$47:$C$52,0),MATCH(V$5,'Growth Rate Predictions'!$C$47:$X$47,0))),"")</f>
        <v>-422318.25953898218</v>
      </c>
      <c r="W13" s="434">
        <f ca="1">IF(W$4&lt;=$C$32,(V13)*(1+INDEX('Growth Rate Predictions'!$C$47:$X$52,MATCH($A$21,'Growth Rate Predictions'!$C$47:$C$52,0),MATCH(W$5,'Growth Rate Predictions'!$C$47:$X$47,0))),"")</f>
        <v>-430764.62472976185</v>
      </c>
      <c r="X13" s="434">
        <f ca="1">IF(X$4&lt;=$C$32,(W13)*(1+INDEX('Growth Rate Predictions'!$C$47:$X$52,MATCH($A$21,'Growth Rate Predictions'!$C$47:$C$52,0),MATCH(X$5,'Growth Rate Predictions'!$C$47:$X$47,0))),"")</f>
        <v>-439379.91722435708</v>
      </c>
      <c r="Y13" s="434">
        <f ca="1">IF(Y$4&lt;=$C$32,(X13)*(1+INDEX('Growth Rate Predictions'!$C$47:$X$52,MATCH($A$21,'Growth Rate Predictions'!$C$47:$C$52,0),MATCH(Y$5,'Growth Rate Predictions'!$C$47:$X$47,0))),"")</f>
        <v>-448167.51556884422</v>
      </c>
      <c r="Z13" s="434">
        <f ca="1">IF(Z$4&lt;=$C$32,(Y13)*(1+INDEX('Growth Rate Predictions'!$C$47:$X$52,MATCH($A$21,'Growth Rate Predictions'!$C$47:$C$52,0),MATCH(Z$5,'Growth Rate Predictions'!$C$47:$X$47,0))),"")</f>
        <v>-457130.86588022113</v>
      </c>
      <c r="AA13" s="434">
        <f ca="1">IF(AA$4&lt;=$C$32,(Z13)*(1+INDEX('Growth Rate Predictions'!$C$47:$X$52,MATCH($A$21,'Growth Rate Predictions'!$C$47:$C$52,0),MATCH(AA$5,'Growth Rate Predictions'!$C$47:$X$47,0))),"")</f>
        <v>-466273.48319782555</v>
      </c>
      <c r="AB13" s="434" t="str">
        <f>IF(AB$4&lt;=$C$32,(AA13)*(1+INDEX('Growth Rate Predictions'!$C$47:$X$52,MATCH($A$21,'Growth Rate Predictions'!$C$47:$C$52,0),MATCH(AB$5,'Growth Rate Predictions'!$C$47:$X$47,0))),"")</f>
        <v/>
      </c>
      <c r="AC13" s="434"/>
    </row>
    <row r="14" spans="1:29">
      <c r="A14" s="256"/>
      <c r="B14" s="256"/>
      <c r="C14" s="421"/>
      <c r="E14" s="29"/>
      <c r="F14" s="213" t="s">
        <v>638</v>
      </c>
      <c r="G14" s="434">
        <f ca="1">IF(G$4&lt;=$C$32,'Master Tab'!$I$21*(1+$C$21)^G$4,"")</f>
        <v>307087.5075971944</v>
      </c>
      <c r="H14" s="434">
        <f t="shared" ca="1" si="0"/>
        <v>213699.25186215722</v>
      </c>
      <c r="I14" s="434">
        <f ca="1">IF(I$4&lt;=$C$32,'Master Tab'!$I$21*(1+$C$21)^I$4,"")</f>
        <v>315495.85601949849</v>
      </c>
      <c r="J14" s="434">
        <f ca="1">IF(J$4&lt;=$C$32,'Master Tab'!$I$21*(1+$C$21)^J$4,"")</f>
        <v>324134.43302955612</v>
      </c>
      <c r="K14" s="434">
        <f ca="1">IF(K$4&lt;=$C$32,'Master Tab'!$I$21*(1+$C$21)^K$4,"")</f>
        <v>333009.54250536539</v>
      </c>
      <c r="L14" s="434">
        <f ca="1">IF(L$4&lt;=$C$32,'Master Tab'!$I$21*(1+$C$21)^L$4,"")</f>
        <v>342127.66093110753</v>
      </c>
      <c r="M14" s="434">
        <f ca="1">IF(M$4&lt;=$C$32,'Master Tab'!$I$21*(1+$C$21)^M$4,"")</f>
        <v>351495.44212326873</v>
      </c>
      <c r="N14" s="434">
        <f ca="1">IF(N$4&lt;=$C$32,'Master Tab'!$I$21*(1+$C$21)^N$4,"")</f>
        <v>361119.72208616772</v>
      </c>
      <c r="O14" s="434">
        <f ca="1">IF(O$4&lt;=$C$32,'Master Tab'!$I$21*(1+$C$21)^O$4,"")</f>
        <v>371007.52400043176</v>
      </c>
      <c r="P14" s="434">
        <f ca="1">IF(P$4&lt;=$C$32,'Master Tab'!$I$21*(1+$C$21)^P$4,"")</f>
        <v>381166.06334806257</v>
      </c>
      <c r="Q14" s="434">
        <f ca="1">IF(Q$4&lt;=$C$32,'Master Tab'!$I$21*(1+$C$21)^Q$4,"")</f>
        <v>391602.75317783089</v>
      </c>
      <c r="R14" s="434">
        <f ca="1">IF(R$4&lt;=$C$32,'Master Tab'!$I$21*(1+$C$21)^R$4,"")</f>
        <v>402325.20951484283</v>
      </c>
      <c r="S14" s="434">
        <f ca="1">IF(S$4&lt;=$C$32,'Master Tab'!$I$21*(1+$C$21)^S$4,"")</f>
        <v>413341.2569182255</v>
      </c>
      <c r="T14" s="434">
        <f ca="1">IF(T$4&lt;=$C$32,'Master Tab'!$I$21*(1+$C$21)^T$4,"")</f>
        <v>424658.93419098639</v>
      </c>
      <c r="U14" s="434">
        <f ca="1">IF(U$4&lt;=$C$32,'Master Tab'!$I$21*(1+$C$21)^U$4,"")</f>
        <v>436286.50024621567</v>
      </c>
      <c r="V14" s="434">
        <f ca="1">IF(V$4&lt;=$C$32,'Master Tab'!$I$21*(1+$C$21)^V$4,"")</f>
        <v>448232.44013390958</v>
      </c>
      <c r="W14" s="434">
        <f ca="1">IF(W$4&lt;=$C$32,'Master Tab'!$I$21*(1+$C$21)^W$4,"")</f>
        <v>460505.47123281419</v>
      </c>
      <c r="X14" s="434">
        <f ca="1">IF(X$4&lt;=$C$32,'Master Tab'!$I$21*(1+$C$21)^X$4,"")</f>
        <v>473114.54961180792</v>
      </c>
      <c r="Y14" s="434">
        <f ca="1">IF(Y$4&lt;=$C$32,'Master Tab'!$I$21*(1+$C$21)^Y$4,"")</f>
        <v>486068.87656546448</v>
      </c>
      <c r="Z14" s="434">
        <f ca="1">IF(Z$4&lt;=$C$32,'Master Tab'!$I$21*(1+$C$21)^Z$4,"")</f>
        <v>499377.90532856638</v>
      </c>
      <c r="AA14" s="434">
        <f ca="1">IF(AA$4&lt;=$C$32,'Master Tab'!$I$21*(1+$C$21)^AA$4,"")</f>
        <v>513051.34797446756</v>
      </c>
      <c r="AB14" s="434" t="str">
        <f>IF(AB$4&lt;=$C$32,'Master Tab'!$I$21*(1+$C$21)^AB$4,"")</f>
        <v/>
      </c>
      <c r="AC14" s="230"/>
    </row>
    <row r="15" spans="1:29">
      <c r="A15" s="270" t="s">
        <v>754</v>
      </c>
      <c r="B15" s="256"/>
      <c r="C15" s="421"/>
      <c r="E15" s="29"/>
      <c r="F15" s="213" t="s">
        <v>2</v>
      </c>
      <c r="G15" s="434">
        <f>IF(G$4&lt;=$C$32,'Master Tab'!$F$8*(1+INDEX('Growth Rate Predictions'!$C$47:$X$52,MATCH($A$23,'Growth Rate Predictions'!$C$47:$C$52,0),MATCH(G$5,'Growth Rate Predictions'!$C$47:$X$47,0))),"")</f>
        <v>41840</v>
      </c>
      <c r="H15" s="434">
        <f t="shared" si="0"/>
        <v>29116.054794520551</v>
      </c>
      <c r="I15" s="434">
        <f>IF(I$4&lt;=$C$32,G15*(1+INDEX('Growth Rate Predictions'!$C$47:$X$52,MATCH($A$23,'Growth Rate Predictions'!$C$47:$C$52,0),MATCH(I$5,'Growth Rate Predictions'!$C$47:$X$47,0))),"")</f>
        <v>43137.039999999994</v>
      </c>
      <c r="J15" s="434">
        <f>IF(J$4&lt;=$C$32,I15*(1+INDEX('Growth Rate Predictions'!$C$47:$X$52,MATCH($A$23,'Growth Rate Predictions'!$C$47:$C$52,0),MATCH(J$5,'Growth Rate Predictions'!$C$47:$X$47,0))),"")</f>
        <v>44344.877119999997</v>
      </c>
      <c r="K15" s="434">
        <f>IF(K$4&lt;=$C$32,J15*(1+INDEX('Growth Rate Predictions'!$C$47:$X$52,MATCH($A$23,'Growth Rate Predictions'!$C$47:$C$52,0),MATCH(K$5,'Growth Rate Predictions'!$C$47:$X$47,0))),"")</f>
        <v>45453.499047999991</v>
      </c>
      <c r="L15" s="434">
        <f>IF(L$4&lt;=$C$32,K15*(1+INDEX('Growth Rate Predictions'!$C$47:$X$52,MATCH($A$23,'Growth Rate Predictions'!$C$47:$C$52,0),MATCH(L$5,'Growth Rate Predictions'!$C$47:$X$47,0))),"")</f>
        <v>46362.569028959988</v>
      </c>
      <c r="M15" s="434">
        <f>IF(M$4&lt;=$C$32,L15*(1+INDEX('Growth Rate Predictions'!$C$47:$X$52,MATCH($A$23,'Growth Rate Predictions'!$C$47:$C$52,0),MATCH(M$5,'Growth Rate Predictions'!$C$47:$X$47,0))),"")</f>
        <v>47289.820409539192</v>
      </c>
      <c r="N15" s="434">
        <f>IF(N$4&lt;=$C$32,M15*(1+INDEX('Growth Rate Predictions'!$C$47:$X$52,MATCH($A$23,'Growth Rate Predictions'!$C$47:$C$52,0),MATCH(N$5,'Growth Rate Predictions'!$C$47:$X$47,0))),"")</f>
        <v>48235.616817729977</v>
      </c>
      <c r="O15" s="434">
        <f>IF(O$4&lt;=$C$32,N15*(1+INDEX('Growth Rate Predictions'!$C$47:$X$52,MATCH($A$23,'Growth Rate Predictions'!$C$47:$C$52,0),MATCH(O$5,'Growth Rate Predictions'!$C$47:$X$47,0))),"")</f>
        <v>49200.329154084575</v>
      </c>
      <c r="P15" s="434">
        <f>IF(P$4&lt;=$C$32,O15*(1+INDEX('Growth Rate Predictions'!$C$47:$X$52,MATCH($A$23,'Growth Rate Predictions'!$C$47:$C$52,0),MATCH(P$5,'Growth Rate Predictions'!$C$47:$X$47,0))),"")</f>
        <v>50184.335737166264</v>
      </c>
      <c r="Q15" s="434">
        <f>IF(Q$4&lt;=$C$32,P15*(1+INDEX('Growth Rate Predictions'!$C$47:$X$52,MATCH($A$23,'Growth Rate Predictions'!$C$47:$C$52,0),MATCH(Q$5,'Growth Rate Predictions'!$C$47:$X$47,0))),"")</f>
        <v>51188.022451909594</v>
      </c>
      <c r="R15" s="434">
        <f>IF(R$4&lt;=$C$32,Q15*(1+INDEX('Growth Rate Predictions'!$C$47:$X$52,MATCH($A$23,'Growth Rate Predictions'!$C$47:$C$52,0),MATCH(R$5,'Growth Rate Predictions'!$C$47:$X$47,0))),"")</f>
        <v>52211.782900947786</v>
      </c>
      <c r="S15" s="434">
        <f>IF(S$4&lt;=$C$32,R15*(1+INDEX('Growth Rate Predictions'!$C$47:$X$52,MATCH($A$23,'Growth Rate Predictions'!$C$47:$C$52,0),MATCH(S$5,'Growth Rate Predictions'!$C$47:$X$47,0))),"")</f>
        <v>53256.018558966745</v>
      </c>
      <c r="T15" s="434">
        <f>IF(T$4&lt;=$C$32,S15*(1+INDEX('Growth Rate Predictions'!$C$47:$X$52,MATCH($A$23,'Growth Rate Predictions'!$C$47:$C$52,0),MATCH(T$5,'Growth Rate Predictions'!$C$47:$X$47,0))),"")</f>
        <v>54321.13893014608</v>
      </c>
      <c r="U15" s="434">
        <f>IF(U$4&lt;=$C$32,T15*(1+INDEX('Growth Rate Predictions'!$C$47:$X$52,MATCH($A$23,'Growth Rate Predictions'!$C$47:$C$52,0),MATCH(U$5,'Growth Rate Predictions'!$C$47:$X$47,0))),"")</f>
        <v>55407.561708749003</v>
      </c>
      <c r="V15" s="434">
        <f>IF(V$4&lt;=$C$32,U15*(1+INDEX('Growth Rate Predictions'!$C$47:$X$52,MATCH($A$23,'Growth Rate Predictions'!$C$47:$C$52,0),MATCH(V$5,'Growth Rate Predictions'!$C$47:$X$47,0))),"")</f>
        <v>56515.712942923987</v>
      </c>
      <c r="W15" s="434">
        <f>IF(W$4&lt;=$C$32,V15*(1+INDEX('Growth Rate Predictions'!$C$47:$X$52,MATCH($A$23,'Growth Rate Predictions'!$C$47:$C$52,0),MATCH(W$5,'Growth Rate Predictions'!$C$47:$X$47,0))),"")</f>
        <v>57646.027201782468</v>
      </c>
      <c r="X15" s="434">
        <f>IF(X$4&lt;=$C$32,W15*(1+INDEX('Growth Rate Predictions'!$C$47:$X$52,MATCH($A$23,'Growth Rate Predictions'!$C$47:$C$52,0),MATCH(X$5,'Growth Rate Predictions'!$C$47:$X$47,0))),"")</f>
        <v>58798.947745818121</v>
      </c>
      <c r="Y15" s="434">
        <f>IF(Y$4&lt;=$C$32,X15*(1+INDEX('Growth Rate Predictions'!$C$47:$X$52,MATCH($A$23,'Growth Rate Predictions'!$C$47:$C$52,0),MATCH(Y$5,'Growth Rate Predictions'!$C$47:$X$47,0))),"")</f>
        <v>59974.926700734482</v>
      </c>
      <c r="Z15" s="434">
        <f>IF(Z$4&lt;=$C$32,Y15*(1+INDEX('Growth Rate Predictions'!$C$47:$X$52,MATCH($A$23,'Growth Rate Predictions'!$C$47:$C$52,0),MATCH(Z$5,'Growth Rate Predictions'!$C$47:$X$47,0))),"")</f>
        <v>61174.425234749171</v>
      </c>
      <c r="AA15" s="434">
        <f>IF(AA$4&lt;=$C$32,Z15*(1+INDEX('Growth Rate Predictions'!$C$47:$X$52,MATCH($A$23,'Growth Rate Predictions'!$C$47:$C$52,0),MATCH(AA$5,'Growth Rate Predictions'!$C$47:$X$47,0))),"")</f>
        <v>62397.913739444157</v>
      </c>
      <c r="AB15" s="434" t="str">
        <f>IF(AB$4&lt;=$C$32,AA15*(1+INDEX('Growth Rate Predictions'!$C$47:$X$52,MATCH($A$23,'Growth Rate Predictions'!$C$47:$C$52,0),MATCH(AB$5,'Growth Rate Predictions'!$C$47:$X$47,0))),"")</f>
        <v/>
      </c>
      <c r="AC15" s="229"/>
    </row>
    <row r="16" spans="1:29">
      <c r="A16" s="256" t="s">
        <v>243</v>
      </c>
      <c r="B16" s="256"/>
      <c r="C16" s="421">
        <f ca="1">'Dynamic Tracking Chart'!R4*(1+C21)</f>
        <v>265940.84705071466</v>
      </c>
      <c r="E16" s="29"/>
      <c r="F16" s="213" t="s">
        <v>335</v>
      </c>
      <c r="G16" s="434">
        <f ca="1">IF(G$4&lt;=$C$32,'Master Tab'!$F$9*(1+INDEX('Growth Rate Predictions'!$C$47:$X$52,MATCH($A$22,'Growth Rate Predictions'!$C$47:$C$52,0),MATCH(G$5,'Growth Rate Predictions'!$C$47:$X$47,0))),"")</f>
        <v>206010.00000000003</v>
      </c>
      <c r="H16" s="434">
        <f t="shared" ca="1" si="0"/>
        <v>143360.38356164386</v>
      </c>
      <c r="I16" s="434">
        <f ca="1">IF(I$4&lt;=$C$32,G16*(1+INDEX('Growth Rate Predictions'!$C$47:$X$52,MATCH($A$22,'Growth Rate Predictions'!$C$47:$C$52,0),MATCH(I$5,'Growth Rate Predictions'!$C$47:$X$47,0))),"")</f>
        <v>211366.26000000004</v>
      </c>
      <c r="J16" s="434">
        <f ca="1">IF(J$4&lt;=$C$32,I16*(1+INDEX('Growth Rate Predictions'!$C$47:$X$52,MATCH($A$22,'Growth Rate Predictions'!$C$47:$C$52,0),MATCH(J$5,'Growth Rate Predictions'!$C$47:$X$47,0))),"")</f>
        <v>216227.68398000003</v>
      </c>
      <c r="K16" s="434">
        <f ca="1">IF(K$4&lt;=$C$32,J16*(1+INDEX('Growth Rate Predictions'!$C$47:$X$52,MATCH($A$22,'Growth Rate Predictions'!$C$47:$C$52,0),MATCH(K$5,'Growth Rate Predictions'!$C$47:$X$47,0))),"")</f>
        <v>220552.23765960004</v>
      </c>
      <c r="L16" s="434">
        <f ca="1">IF(L$4&lt;=$C$32,K16*(1+INDEX('Growth Rate Predictions'!$C$47:$X$52,MATCH($A$22,'Growth Rate Predictions'!$C$47:$C$52,0),MATCH(L$5,'Growth Rate Predictions'!$C$47:$X$47,0))),"")</f>
        <v>224963.28241279203</v>
      </c>
      <c r="M16" s="434">
        <f ca="1">IF(M$4&lt;=$C$32,L16*(1+INDEX('Growth Rate Predictions'!$C$47:$X$52,MATCH($A$22,'Growth Rate Predictions'!$C$47:$C$52,0),MATCH(M$5,'Growth Rate Predictions'!$C$47:$X$47,0))),"")</f>
        <v>229462.54806104788</v>
      </c>
      <c r="N16" s="434">
        <f ca="1">IF(N$4&lt;=$C$32,M16*(1+INDEX('Growth Rate Predictions'!$C$47:$X$52,MATCH($A$22,'Growth Rate Predictions'!$C$47:$C$52,0),MATCH(N$5,'Growth Rate Predictions'!$C$47:$X$47,0))),"")</f>
        <v>234051.79902226885</v>
      </c>
      <c r="O16" s="434">
        <f ca="1">IF(O$4&lt;=$C$32,N16*(1+INDEX('Growth Rate Predictions'!$C$47:$X$52,MATCH($A$22,'Growth Rate Predictions'!$C$47:$C$52,0),MATCH(O$5,'Growth Rate Predictions'!$C$47:$X$47,0))),"")</f>
        <v>238732.83500271424</v>
      </c>
      <c r="P16" s="434">
        <f ca="1">IF(P$4&lt;=$C$32,O16*(1+INDEX('Growth Rate Predictions'!$C$47:$X$52,MATCH($A$22,'Growth Rate Predictions'!$C$47:$C$52,0),MATCH(P$5,'Growth Rate Predictions'!$C$47:$X$47,0))),"")</f>
        <v>243507.49170276854</v>
      </c>
      <c r="Q16" s="434">
        <f ca="1">IF(Q$4&lt;=$C$32,P16*(1+INDEX('Growth Rate Predictions'!$C$47:$X$52,MATCH($A$22,'Growth Rate Predictions'!$C$47:$C$52,0),MATCH(Q$5,'Growth Rate Predictions'!$C$47:$X$47,0))),"")</f>
        <v>248377.64153682391</v>
      </c>
      <c r="R16" s="434">
        <f ca="1">IF(R$4&lt;=$C$32,Q16*(1+INDEX('Growth Rate Predictions'!$C$47:$X$52,MATCH($A$22,'Growth Rate Predictions'!$C$47:$C$52,0),MATCH(R$5,'Growth Rate Predictions'!$C$47:$X$47,0))),"")</f>
        <v>253345.19436756038</v>
      </c>
      <c r="S16" s="434">
        <f ca="1">IF(S$4&lt;=$C$32,R16*(1+INDEX('Growth Rate Predictions'!$C$47:$X$52,MATCH($A$22,'Growth Rate Predictions'!$C$47:$C$52,0),MATCH(S$5,'Growth Rate Predictions'!$C$47:$X$47,0))),"")</f>
        <v>258412.0982549116</v>
      </c>
      <c r="T16" s="434">
        <f ca="1">IF(T$4&lt;=$C$32,S16*(1+INDEX('Growth Rate Predictions'!$C$47:$X$52,MATCH($A$22,'Growth Rate Predictions'!$C$47:$C$52,0),MATCH(T$5,'Growth Rate Predictions'!$C$47:$X$47,0))),"")</f>
        <v>263580.34022000985</v>
      </c>
      <c r="U16" s="434">
        <f ca="1">IF(U$4&lt;=$C$32,T16*(1+INDEX('Growth Rate Predictions'!$C$47:$X$52,MATCH($A$22,'Growth Rate Predictions'!$C$47:$C$52,0),MATCH(U$5,'Growth Rate Predictions'!$C$47:$X$47,0))),"")</f>
        <v>268851.94702441007</v>
      </c>
      <c r="V16" s="434">
        <f ca="1">IF(V$4&lt;=$C$32,U16*(1+INDEX('Growth Rate Predictions'!$C$47:$X$52,MATCH($A$22,'Growth Rate Predictions'!$C$47:$C$52,0),MATCH(V$5,'Growth Rate Predictions'!$C$47:$X$47,0))),"")</f>
        <v>274228.98596489825</v>
      </c>
      <c r="W16" s="434">
        <f ca="1">IF(W$4&lt;=$C$32,V16*(1+INDEX('Growth Rate Predictions'!$C$47:$X$52,MATCH($A$22,'Growth Rate Predictions'!$C$47:$C$52,0),MATCH(W$5,'Growth Rate Predictions'!$C$47:$X$47,0))),"")</f>
        <v>279713.56568419625</v>
      </c>
      <c r="X16" s="434">
        <f ca="1">IF(X$4&lt;=$C$32,W16*(1+INDEX('Growth Rate Predictions'!$C$47:$X$52,MATCH($A$22,'Growth Rate Predictions'!$C$47:$C$52,0),MATCH(X$5,'Growth Rate Predictions'!$C$47:$X$47,0))),"")</f>
        <v>285307.83699788019</v>
      </c>
      <c r="Y16" s="434">
        <f ca="1">IF(Y$4&lt;=$C$32,X16*(1+INDEX('Growth Rate Predictions'!$C$47:$X$52,MATCH($A$22,'Growth Rate Predictions'!$C$47:$C$52,0),MATCH(Y$5,'Growth Rate Predictions'!$C$47:$X$47,0))),"")</f>
        <v>291013.99373783782</v>
      </c>
      <c r="Z16" s="434">
        <f ca="1">IF(Z$4&lt;=$C$32,Y16*(1+INDEX('Growth Rate Predictions'!$C$47:$X$52,MATCH($A$22,'Growth Rate Predictions'!$C$47:$C$52,0),MATCH(Z$5,'Growth Rate Predictions'!$C$47:$X$47,0))),"")</f>
        <v>296834.27361259458</v>
      </c>
      <c r="AA16" s="434">
        <f ca="1">IF(AA$4&lt;=$C$32,Z16*(1+INDEX('Growth Rate Predictions'!$C$47:$X$52,MATCH($A$22,'Growth Rate Predictions'!$C$47:$C$52,0),MATCH(AA$5,'Growth Rate Predictions'!$C$47:$X$47,0))),"")</f>
        <v>302770.95908484649</v>
      </c>
      <c r="AB16" s="434" t="str">
        <f>IF(AB$4&lt;=$C$32,AA16*(1+INDEX('Growth Rate Predictions'!$C$47:$X$52,MATCH($A$22,'Growth Rate Predictions'!$C$47:$C$52,0),MATCH(AB$5,'Growth Rate Predictions'!$C$47:$X$47,0))),"")</f>
        <v/>
      </c>
      <c r="AC16" s="229"/>
    </row>
    <row r="17" spans="1:29" ht="15">
      <c r="A17" s="256" t="s">
        <v>692</v>
      </c>
      <c r="B17" s="256"/>
      <c r="C17" s="421">
        <f ca="1">'Dynamic Tracking Chart'!R5*(1+C22)</f>
        <v>255869.38319881851</v>
      </c>
      <c r="E17" s="29"/>
      <c r="F17" s="29" t="s">
        <v>8</v>
      </c>
      <c r="G17" s="435">
        <f ca="1">IF(G$4&lt;=$C$32,SUM(G13:G16),"")</f>
        <v>242284.7061195595</v>
      </c>
      <c r="H17" s="435">
        <f t="shared" ca="1" si="0"/>
        <v>168603.60371059758</v>
      </c>
      <c r="I17" s="435">
        <f t="shared" ref="I17:AB17" ca="1" si="3">IF(I$4&lt;=$C$32,SUM(I13:I16),"")</f>
        <v>247654.11769605696</v>
      </c>
      <c r="J17" s="435">
        <f t="shared" ca="1" si="3"/>
        <v>253336.29473305817</v>
      </c>
      <c r="K17" s="435">
        <f t="shared" ca="1" si="3"/>
        <v>259360.31233155503</v>
      </c>
      <c r="L17" s="435">
        <f t="shared" ca="1" si="3"/>
        <v>267005.44615382096</v>
      </c>
      <c r="M17" s="435">
        <f t="shared" ca="1" si="3"/>
        <v>274870.78305043641</v>
      </c>
      <c r="N17" s="435">
        <f t="shared" ca="1" si="3"/>
        <v>282962.56983187876</v>
      </c>
      <c r="O17" s="435">
        <f t="shared" ca="1" si="3"/>
        <v>291287.22870105703</v>
      </c>
      <c r="P17" s="435">
        <f t="shared" ca="1" si="3"/>
        <v>299851.36214270041</v>
      </c>
      <c r="Q17" s="435">
        <f t="shared" ca="1" si="3"/>
        <v>308661.75794836145</v>
      </c>
      <c r="R17" s="435">
        <f t="shared" ca="1" si="3"/>
        <v>317725.39438078401</v>
      </c>
      <c r="S17" s="435">
        <f t="shared" ca="1" si="3"/>
        <v>327049.44548148551</v>
      </c>
      <c r="T17" s="435">
        <f t="shared" ca="1" si="3"/>
        <v>336641.28652551165</v>
      </c>
      <c r="U17" s="435">
        <f t="shared" ca="1" si="3"/>
        <v>346508.49962743139</v>
      </c>
      <c r="V17" s="435">
        <f t="shared" ca="1" si="3"/>
        <v>356658.87950274965</v>
      </c>
      <c r="W17" s="435">
        <f t="shared" ca="1" si="3"/>
        <v>367100.43938903103</v>
      </c>
      <c r="X17" s="435">
        <f t="shared" ca="1" si="3"/>
        <v>377841.41713114915</v>
      </c>
      <c r="Y17" s="435">
        <f t="shared" ca="1" si="3"/>
        <v>388890.28143519256</v>
      </c>
      <c r="Z17" s="435">
        <f t="shared" ca="1" si="3"/>
        <v>400255.73829568899</v>
      </c>
      <c r="AA17" s="435">
        <f t="shared" ca="1" si="3"/>
        <v>411946.73760093265</v>
      </c>
      <c r="AB17" s="435" t="str">
        <f t="shared" si="3"/>
        <v/>
      </c>
      <c r="AC17" s="215"/>
    </row>
    <row r="18" spans="1:29">
      <c r="A18" s="256" t="s">
        <v>693</v>
      </c>
      <c r="B18" s="256"/>
      <c r="C18" s="421">
        <f ca="1">C16-C17</f>
        <v>10071.463851896144</v>
      </c>
      <c r="E18" s="29"/>
      <c r="F18" s="29"/>
      <c r="G18" s="434"/>
      <c r="H18" s="434"/>
      <c r="I18" s="434"/>
      <c r="J18" s="434"/>
      <c r="K18" s="434"/>
      <c r="L18" s="434"/>
      <c r="M18" s="434"/>
      <c r="N18" s="434"/>
      <c r="O18" s="434"/>
      <c r="P18" s="434"/>
      <c r="Q18" s="434"/>
      <c r="R18" s="434"/>
      <c r="S18" s="434"/>
      <c r="T18" s="434"/>
      <c r="U18" s="434"/>
      <c r="V18" s="434"/>
      <c r="W18" s="434"/>
      <c r="X18" s="434"/>
      <c r="Y18" s="434"/>
      <c r="Z18" s="434"/>
      <c r="AA18" s="434"/>
      <c r="AB18" s="434"/>
      <c r="AC18" s="229"/>
    </row>
    <row r="19" spans="1:29">
      <c r="A19" s="29"/>
      <c r="B19" s="29"/>
      <c r="C19" s="117"/>
      <c r="E19" s="29"/>
      <c r="F19" s="29"/>
      <c r="G19" s="434"/>
      <c r="H19" s="434"/>
      <c r="I19" s="434"/>
      <c r="J19" s="434"/>
      <c r="K19" s="434"/>
      <c r="L19" s="434"/>
      <c r="M19" s="434"/>
      <c r="N19" s="434"/>
      <c r="O19" s="434"/>
      <c r="P19" s="434"/>
      <c r="Q19" s="434"/>
      <c r="R19" s="434"/>
      <c r="S19" s="434"/>
      <c r="T19" s="434"/>
      <c r="U19" s="434"/>
      <c r="V19" s="434"/>
      <c r="W19" s="434"/>
      <c r="X19" s="434"/>
      <c r="Y19" s="434"/>
      <c r="Z19" s="434"/>
      <c r="AA19" s="434"/>
      <c r="AB19" s="434"/>
      <c r="AC19" s="216"/>
    </row>
    <row r="20" spans="1:29" ht="15">
      <c r="A20" s="270" t="s">
        <v>257</v>
      </c>
      <c r="B20"/>
      <c r="C20" s="113"/>
      <c r="E20" s="29"/>
      <c r="F20" s="217" t="s">
        <v>435</v>
      </c>
      <c r="G20" s="436">
        <f ca="1">IF(G$4&lt;=$C$32,G10-G17,"")</f>
        <v>335563.24858382251</v>
      </c>
      <c r="H20" s="436">
        <f t="shared" ca="1" si="0"/>
        <v>233515.24695970115</v>
      </c>
      <c r="I20" s="436">
        <f t="shared" ref="I20:AB20" ca="1" si="4">IF(I$4&lt;=$C$32,I10-I17,"")</f>
        <v>346995.75928992091</v>
      </c>
      <c r="J20" s="436">
        <f t="shared" ca="1" si="4"/>
        <v>357768.47185003874</v>
      </c>
      <c r="K20" s="436">
        <f t="shared" ca="1" si="4"/>
        <v>367793.82206618972</v>
      </c>
      <c r="L20" s="436">
        <f t="shared" ca="1" si="4"/>
        <v>375149.69850751362</v>
      </c>
      <c r="M20" s="436">
        <f t="shared" ca="1" si="4"/>
        <v>382652.69247766386</v>
      </c>
      <c r="N20" s="436">
        <f t="shared" ca="1" si="4"/>
        <v>390305.74632721709</v>
      </c>
      <c r="O20" s="436">
        <f t="shared" ca="1" si="4"/>
        <v>398111.86125376157</v>
      </c>
      <c r="P20" s="436">
        <f t="shared" ca="1" si="4"/>
        <v>406074.09847883676</v>
      </c>
      <c r="Q20" s="436">
        <f t="shared" ca="1" si="4"/>
        <v>414195.5804484135</v>
      </c>
      <c r="R20" s="436">
        <f t="shared" ca="1" si="4"/>
        <v>422479.49205738178</v>
      </c>
      <c r="S20" s="436">
        <f t="shared" ca="1" si="4"/>
        <v>430929.08189852949</v>
      </c>
      <c r="T20" s="436">
        <f t="shared" ca="1" si="4"/>
        <v>439547.66353649995</v>
      </c>
      <c r="U20" s="436">
        <f t="shared" ca="1" si="4"/>
        <v>448338.61680723005</v>
      </c>
      <c r="V20" s="436">
        <f t="shared" ca="1" si="4"/>
        <v>457305.38914337463</v>
      </c>
      <c r="W20" s="436">
        <f t="shared" ca="1" si="4"/>
        <v>466451.49692624214</v>
      </c>
      <c r="X20" s="436">
        <f t="shared" ca="1" si="4"/>
        <v>475780.52686476702</v>
      </c>
      <c r="Y20" s="436">
        <f t="shared" ca="1" si="4"/>
        <v>485296.1374020623</v>
      </c>
      <c r="Z20" s="436">
        <f t="shared" ca="1" si="4"/>
        <v>495002.06015010364</v>
      </c>
      <c r="AA20" s="436">
        <f t="shared" ca="1" si="4"/>
        <v>504902.10135310568</v>
      </c>
      <c r="AB20" s="436" t="str">
        <f t="shared" si="4"/>
        <v/>
      </c>
      <c r="AC20" s="232"/>
    </row>
    <row r="21" spans="1:29" ht="15">
      <c r="A21" s="29" t="s">
        <v>688</v>
      </c>
      <c r="B21"/>
      <c r="C21" s="392">
        <f>INDEX(Assumptions!$A$6:$D$17,MATCH(A21,Assumptions!$A$6:$A$17,0),MATCH($C$12,Assumptions!$A$6:$D$6,0))</f>
        <v>2.7380952380952381E-2</v>
      </c>
      <c r="E21" s="29"/>
      <c r="F21" s="29" t="s">
        <v>337</v>
      </c>
      <c r="G21" s="429"/>
      <c r="H21" s="429"/>
      <c r="I21" s="429"/>
      <c r="J21" s="429"/>
      <c r="K21" s="429"/>
      <c r="L21" s="429"/>
      <c r="M21" s="429"/>
      <c r="N21" s="429"/>
      <c r="O21" s="429"/>
      <c r="P21" s="429"/>
      <c r="Q21" s="429"/>
      <c r="R21" s="429"/>
      <c r="S21" s="429"/>
      <c r="T21" s="429"/>
      <c r="U21" s="429"/>
      <c r="V21" s="429"/>
      <c r="W21" s="429"/>
      <c r="X21" s="429"/>
      <c r="Y21" s="429"/>
      <c r="Z21" s="429"/>
      <c r="AA21" s="429"/>
      <c r="AB21" s="429"/>
      <c r="AC21" s="220"/>
    </row>
    <row r="22" spans="1:29" ht="15">
      <c r="A22" s="29" t="s">
        <v>764</v>
      </c>
      <c r="B22"/>
      <c r="C22" s="392">
        <f>INDEX(Assumptions!$A$6:$D$17,MATCH(A22,Assumptions!$A$6:$A$17,0),MATCH($C$12,Assumptions!$A$6:$D$6,0))</f>
        <v>1.8761904761904761E-2</v>
      </c>
      <c r="E22" s="29"/>
      <c r="F22" s="213" t="s">
        <v>753</v>
      </c>
      <c r="G22" s="434">
        <f>IF(G$4&lt;=$C$32,'Cost of Ownership Calculation'!I34*(1+INDEX('Growth Rate Predictions'!$C$47:$X$52,MATCH($A$25,'Growth Rate Predictions'!$C$47:$C$52,0),MATCH(G$5,'Growth Rate Predictions'!$C$47:$X$47,0))),0)</f>
        <v>114743.19999999998</v>
      </c>
      <c r="H22" s="434">
        <f>G22*$C$40</f>
        <v>79848.692602739713</v>
      </c>
      <c r="I22" s="434">
        <f>IF(I$4&lt;=$C$32,'Cost of Ownership Calculation'!$I$36*(1+INDEX('Growth Rate Predictions'!$C$47:$X$52,MATCH($A$25,'Growth Rate Predictions'!$C$47:$C$52,0),MATCH(I$5,'Growth Rate Predictions'!$C$47:$X$47,0)))^I$4,"")</f>
        <v>120426.1344</v>
      </c>
      <c r="J22" s="434">
        <f>IF(J$4&lt;=$C$32,'Cost of Ownership Calculation'!$I$36*(1+INDEX('Growth Rate Predictions'!$C$47:$X$52,MATCH($A$25,'Growth Rate Predictions'!$C$47:$C$52,0),MATCH(J$5,'Growth Rate Predictions'!$C$47:$X$47,0)))^J$4,"")</f>
        <v>122476.54470479996</v>
      </c>
      <c r="K22" s="434">
        <f>IF(K$4&lt;=$C$32,'Cost of Ownership Calculation'!$I$36*(1+INDEX('Growth Rate Predictions'!$C$47:$X$52,MATCH($A$25,'Growth Rate Predictions'!$C$47:$C$52,0),MATCH(K$5,'Growth Rate Predictions'!$C$47:$X$47,0)))^K$4,"")</f>
        <v>123830.23910399999</v>
      </c>
      <c r="L22" s="434">
        <f>IF(L$4&lt;=$C$32,'Cost of Ownership Calculation'!$I$36*(1+INDEX('Growth Rate Predictions'!$C$47:$X$52,MATCH($A$25,'Growth Rate Predictions'!$C$47:$C$52,0),MATCH(L$5,'Growth Rate Predictions'!$C$47:$X$47,0)))^L$4,"")</f>
        <v>126306.84388608001</v>
      </c>
      <c r="M22" s="434">
        <f>IF(M$4&lt;=$C$32,'Cost of Ownership Calculation'!$I$36*(1+INDEX('Growth Rate Predictions'!$C$47:$X$52,MATCH($A$25,'Growth Rate Predictions'!$C$47:$C$52,0),MATCH(M$5,'Growth Rate Predictions'!$C$47:$X$47,0)))^M$4,"")</f>
        <v>128832.98076380161</v>
      </c>
      <c r="N22" s="434">
        <f>IF(N$4&lt;=$C$32,'Cost of Ownership Calculation'!$I$36*(1+INDEX('Growth Rate Predictions'!$C$47:$X$52,MATCH($A$25,'Growth Rate Predictions'!$C$47:$C$52,0),MATCH(N$5,'Growth Rate Predictions'!$C$47:$X$47,0)))^N$4,"")</f>
        <v>131409.64037907761</v>
      </c>
      <c r="O22" s="434">
        <f>IF(O$4&lt;=$C$32,'Cost of Ownership Calculation'!$I$36*(1+INDEX('Growth Rate Predictions'!$C$47:$X$52,MATCH($A$25,'Growth Rate Predictions'!$C$47:$C$52,0),MATCH(O$5,'Growth Rate Predictions'!$C$47:$X$47,0)))^O$4,"")</f>
        <v>134037.83318665918</v>
      </c>
      <c r="P22" s="434">
        <f>IF(P$4&lt;=$C$32,'Cost of Ownership Calculation'!$I$36*(1+INDEX('Growth Rate Predictions'!$C$47:$X$52,MATCH($A$25,'Growth Rate Predictions'!$C$47:$C$52,0),MATCH(P$5,'Growth Rate Predictions'!$C$47:$X$47,0)))^P$4,"")</f>
        <v>136718.58985039237</v>
      </c>
      <c r="Q22" s="434">
        <f>IF(Q$4&lt;=$C$32,'Cost of Ownership Calculation'!$I$36*(1+INDEX('Growth Rate Predictions'!$C$47:$X$52,MATCH($A$25,'Growth Rate Predictions'!$C$47:$C$52,0),MATCH(Q$5,'Growth Rate Predictions'!$C$47:$X$47,0)))^Q$4,"")</f>
        <v>139452.96164740023</v>
      </c>
      <c r="R22" s="434">
        <f>IF(R$4&lt;=$C$32,'Cost of Ownership Calculation'!$I$36*(1+INDEX('Growth Rate Predictions'!$C$47:$X$52,MATCH($A$25,'Growth Rate Predictions'!$C$47:$C$52,0),MATCH(R$5,'Growth Rate Predictions'!$C$47:$X$47,0)))^R$4,"")</f>
        <v>142242.02088034819</v>
      </c>
      <c r="S22" s="434">
        <f>IF(S$4&lt;=$C$32,'Cost of Ownership Calculation'!$I$36*(1+INDEX('Growth Rate Predictions'!$C$47:$X$52,MATCH($A$25,'Growth Rate Predictions'!$C$47:$C$52,0),MATCH(S$5,'Growth Rate Predictions'!$C$47:$X$47,0)))^S$4,"")</f>
        <v>145086.86129795518</v>
      </c>
      <c r="T22" s="434">
        <f>IF(T$4&lt;=$C$32,'Cost of Ownership Calculation'!$I$36*(1+INDEX('Growth Rate Predictions'!$C$47:$X$52,MATCH($A$25,'Growth Rate Predictions'!$C$47:$C$52,0),MATCH(T$5,'Growth Rate Predictions'!$C$47:$X$47,0)))^T$4,"")</f>
        <v>147988.59852391426</v>
      </c>
      <c r="U22" s="434">
        <f>IF(U$4&lt;=$C$32,'Cost of Ownership Calculation'!$I$36*(1+INDEX('Growth Rate Predictions'!$C$47:$X$52,MATCH($A$25,'Growth Rate Predictions'!$C$47:$C$52,0),MATCH(U$5,'Growth Rate Predictions'!$C$47:$X$47,0)))^U$4,"")</f>
        <v>150948.37049439258</v>
      </c>
      <c r="V22" s="434">
        <f>IF(V$4&lt;=$C$32,'Cost of Ownership Calculation'!$I$36*(1+INDEX('Growth Rate Predictions'!$C$47:$X$52,MATCH($A$25,'Growth Rate Predictions'!$C$47:$C$52,0),MATCH(V$5,'Growth Rate Predictions'!$C$47:$X$47,0)))^V$4,"")</f>
        <v>153967.33790428037</v>
      </c>
      <c r="W22" s="434">
        <f>IF(W$4&lt;=$C$32,'Cost of Ownership Calculation'!$I$36*(1+INDEX('Growth Rate Predictions'!$C$47:$X$52,MATCH($A$25,'Growth Rate Predictions'!$C$47:$C$52,0),MATCH(W$5,'Growth Rate Predictions'!$C$47:$X$47,0)))^W$4,"")</f>
        <v>157046.68466236602</v>
      </c>
      <c r="X22" s="434">
        <f>IF(X$4&lt;=$C$32,'Cost of Ownership Calculation'!$I$36*(1+INDEX('Growth Rate Predictions'!$C$47:$X$52,MATCH($A$25,'Growth Rate Predictions'!$C$47:$C$52,0),MATCH(X$5,'Growth Rate Predictions'!$C$47:$X$47,0)))^X$4,"")</f>
        <v>160187.61835561335</v>
      </c>
      <c r="Y22" s="434">
        <f>IF(Y$4&lt;=$C$32,'Cost of Ownership Calculation'!$I$36*(1+INDEX('Growth Rate Predictions'!$C$47:$X$52,MATCH($A$25,'Growth Rate Predictions'!$C$47:$C$52,0),MATCH(Y$5,'Growth Rate Predictions'!$C$47:$X$47,0)))^Y$4,"")</f>
        <v>163391.37072272561</v>
      </c>
      <c r="Z22" s="434">
        <f>IF(Z$4&lt;=$C$32,'Cost of Ownership Calculation'!$I$36*(1+INDEX('Growth Rate Predictions'!$C$47:$X$52,MATCH($A$25,'Growth Rate Predictions'!$C$47:$C$52,0),MATCH(Z$5,'Growth Rate Predictions'!$C$47:$X$47,0)))^Z$4,"")</f>
        <v>166659.19813718009</v>
      </c>
      <c r="AA22" s="434">
        <f>IF(AA$4&lt;=$C$32,'Cost of Ownership Calculation'!$I$36*(1+INDEX('Growth Rate Predictions'!$C$47:$X$52,MATCH($A$25,'Growth Rate Predictions'!$C$47:$C$52,0),MATCH(AA$5,'Growth Rate Predictions'!$C$47:$X$47,0)))^AA$4,"")</f>
        <v>169992.38209992374</v>
      </c>
      <c r="AB22" s="434" t="str">
        <f>IF(AB$4&lt;=$C$32,'Cost of Ownership Calculation'!$I$36*(1+INDEX('Growth Rate Predictions'!$C$47:$X$52,MATCH($A$25,'Growth Rate Predictions'!$C$47:$C$52,0),MATCH(AB$5,'Growth Rate Predictions'!$C$47:$X$47,0)))^AB$4,"")</f>
        <v/>
      </c>
      <c r="AC22" s="220"/>
    </row>
    <row r="23" spans="1:29" ht="15">
      <c r="A23" s="29" t="s">
        <v>2</v>
      </c>
      <c r="B23"/>
      <c r="C23" s="392">
        <f>INDEX(Assumptions!$A$6:$D$17,MATCH(A23,Assumptions!$A$6:$A$17,0),MATCH($C$12,Assumptions!$A$6:$D$6,0))</f>
        <v>1.7380952380952382E-2</v>
      </c>
      <c r="E23" s="29"/>
      <c r="F23" s="213" t="s">
        <v>791</v>
      </c>
      <c r="G23" s="434">
        <f ca="1">IF(G$4&lt;=$C$32,'Master Tab'!$F$7*(1+INDEX('Growth Rate Predictions'!$C$47:$X$52,MATCH(A23,'Growth Rate Predictions'!$C$47:$C$52,0),MATCH(G$5,'Growth Rate Predictions'!$C$47:$X$47,0))),"")</f>
        <v>6575.9301795838664</v>
      </c>
      <c r="H23" s="434">
        <f ca="1">G23*$C$40</f>
        <v>4576.1267551076771</v>
      </c>
      <c r="I23" s="434">
        <f ca="1">IF(I$4&lt;=$C$32,G23*(1+INDEX('Growth Rate Predictions'!$C$47:$X$52,MATCH($A$24,'Growth Rate Predictions'!$C$47:$C$52,0),MATCH(I$5,'Growth Rate Predictions'!$C$47:$X$47,0))),"")</f>
        <v>6054.547531053091</v>
      </c>
      <c r="J23" s="434">
        <f ca="1">IF(J$4&lt;=$C$32,I23*(1+INDEX('Growth Rate Predictions'!$C$47:$X$52,MATCH($A$24,'Growth Rate Predictions'!$C$47:$C$52,0),MATCH(J$5,'Growth Rate Predictions'!$C$47:$X$47,0))),"")</f>
        <v>5744.0231448019913</v>
      </c>
      <c r="K23" s="434">
        <f ca="1">IF(K$4&lt;=$C$32,J23*(1+INDEX('Growth Rate Predictions'!$C$47:$X$52,MATCH($A$24,'Growth Rate Predictions'!$C$47:$C$52,0),MATCH(K$5,'Growth Rate Predictions'!$C$47:$X$47,0))),"")</f>
        <v>5857.9272864836175</v>
      </c>
      <c r="L23" s="434">
        <f ca="1">IF(L$4&lt;=$C$32,K23*(1+INDEX('Growth Rate Predictions'!$C$47:$X$52,MATCH($A$24,'Growth Rate Predictions'!$C$47:$C$52,0),MATCH(L$5,'Growth Rate Predictions'!$C$47:$X$47,0))),"")</f>
        <v>6002.3414661156794</v>
      </c>
      <c r="M23" s="434">
        <f ca="1">IF(M$4&lt;=$C$32,L23*(1+INDEX('Growth Rate Predictions'!$C$47:$X$52,MATCH($A$24,'Growth Rate Predictions'!$C$47:$C$52,0),MATCH(M$5,'Growth Rate Predictions'!$C$47:$X$47,0))),"")</f>
        <v>6100.6515884004157</v>
      </c>
      <c r="N23" s="434">
        <f ca="1">IF(N$4&lt;=$C$32,M23*(1+INDEX('Growth Rate Predictions'!$C$47:$X$52,MATCH($A$24,'Growth Rate Predictions'!$C$47:$C$52,0),MATCH(N$5,'Growth Rate Predictions'!$C$47:$X$47,0))),"")</f>
        <v>6222.6646201684243</v>
      </c>
      <c r="O23" s="434">
        <f ca="1">IF(O$4&lt;=$C$32,N23*(1+INDEX('Growth Rate Predictions'!$C$47:$X$52,MATCH($A$24,'Growth Rate Predictions'!$C$47:$C$52,0),MATCH(O$5,'Growth Rate Predictions'!$C$47:$X$47,0))),"")</f>
        <v>6347.1179125717927</v>
      </c>
      <c r="P23" s="434">
        <f ca="1">IF(P$4&lt;=$C$32,O23*(1+INDEX('Growth Rate Predictions'!$C$47:$X$52,MATCH($A$24,'Growth Rate Predictions'!$C$47:$C$52,0),MATCH(P$5,'Growth Rate Predictions'!$C$47:$X$47,0))),"")</f>
        <v>6474.0602708232291</v>
      </c>
      <c r="Q23" s="434">
        <f ca="1">IF(Q$4&lt;=$C$32,P23*(1+INDEX('Growth Rate Predictions'!$C$47:$X$52,MATCH($A$24,'Growth Rate Predictions'!$C$47:$C$52,0),MATCH(Q$5,'Growth Rate Predictions'!$C$47:$X$47,0))),"")</f>
        <v>6603.541476239694</v>
      </c>
      <c r="R23" s="434">
        <f ca="1">IF(R$4&lt;=$C$32,Q23*(1+INDEX('Growth Rate Predictions'!$C$47:$X$52,MATCH($A$24,'Growth Rate Predictions'!$C$47:$C$52,0),MATCH(R$5,'Growth Rate Predictions'!$C$47:$X$47,0))),"")</f>
        <v>6735.6123057644882</v>
      </c>
      <c r="S23" s="434">
        <f ca="1">IF(S$4&lt;=$C$32,R23*(1+INDEX('Growth Rate Predictions'!$C$47:$X$52,MATCH($A$24,'Growth Rate Predictions'!$C$47:$C$52,0),MATCH(S$5,'Growth Rate Predictions'!$C$47:$X$47,0))),"")</f>
        <v>6870.3245518797785</v>
      </c>
      <c r="T23" s="434">
        <f ca="1">IF(T$4&lt;=$C$32,S23*(1+INDEX('Growth Rate Predictions'!$C$47:$X$52,MATCH($A$24,'Growth Rate Predictions'!$C$47:$C$52,0),MATCH(T$5,'Growth Rate Predictions'!$C$47:$X$47,0))),"")</f>
        <v>7007.731042917374</v>
      </c>
      <c r="U23" s="434">
        <f ca="1">IF(U$4&lt;=$C$32,T23*(1+INDEX('Growth Rate Predictions'!$C$47:$X$52,MATCH($A$24,'Growth Rate Predictions'!$C$47:$C$52,0),MATCH(U$5,'Growth Rate Predictions'!$C$47:$X$47,0))),"")</f>
        <v>7147.8856637757217</v>
      </c>
      <c r="V23" s="434">
        <f ca="1">IF(V$4&lt;=$C$32,U23*(1+INDEX('Growth Rate Predictions'!$C$47:$X$52,MATCH($A$24,'Growth Rate Predictions'!$C$47:$C$52,0),MATCH(V$5,'Growth Rate Predictions'!$C$47:$X$47,0))),"")</f>
        <v>7290.8433770512365</v>
      </c>
      <c r="W23" s="434">
        <f ca="1">IF(W$4&lt;=$C$32,V23*(1+INDEX('Growth Rate Predictions'!$C$47:$X$52,MATCH($A$24,'Growth Rate Predictions'!$C$47:$C$52,0),MATCH(W$5,'Growth Rate Predictions'!$C$47:$X$47,0))),"")</f>
        <v>7436.6602445922617</v>
      </c>
      <c r="X23" s="434">
        <f ca="1">IF(X$4&lt;=$C$32,W23*(1+INDEX('Growth Rate Predictions'!$C$47:$X$52,MATCH($A$24,'Growth Rate Predictions'!$C$47:$C$52,0),MATCH(X$5,'Growth Rate Predictions'!$C$47:$X$47,0))),"")</f>
        <v>7585.3934494841069</v>
      </c>
      <c r="Y23" s="434">
        <f ca="1">IF(Y$4&lt;=$C$32,X23*(1+INDEX('Growth Rate Predictions'!$C$47:$X$52,MATCH($A$24,'Growth Rate Predictions'!$C$47:$C$52,0),MATCH(Y$5,'Growth Rate Predictions'!$C$47:$X$47,0))),"")</f>
        <v>7737.1013184737894</v>
      </c>
      <c r="Z23" s="434">
        <f ca="1">IF(Z$4&lt;=$C$32,Y23*(1+INDEX('Growth Rate Predictions'!$C$47:$X$52,MATCH($A$24,'Growth Rate Predictions'!$C$47:$C$52,0),MATCH(Z$5,'Growth Rate Predictions'!$C$47:$X$47,0))),"")</f>
        <v>7891.8433448432652</v>
      </c>
      <c r="AA23" s="434">
        <f ca="1">IF(AA$4&lt;=$C$32,Z23*(1+INDEX('Growth Rate Predictions'!$C$47:$X$52,MATCH($A$24,'Growth Rate Predictions'!$C$47:$C$52,0),MATCH(AA$5,'Growth Rate Predictions'!$C$47:$X$47,0))),"")</f>
        <v>8049.6802117401303</v>
      </c>
      <c r="AB23" s="434" t="str">
        <f>IF(AB$4&lt;=$C$32,AA23*(1+INDEX('Growth Rate Predictions'!$C$47:$X$52,MATCH($A$24,'Growth Rate Predictions'!$C$47:$C$52,0),MATCH(AB$5,'Growth Rate Predictions'!$C$47:$X$47,0))),"")</f>
        <v/>
      </c>
      <c r="AC23" s="220"/>
    </row>
    <row r="24" spans="1:29" ht="15">
      <c r="A24" s="29" t="s">
        <v>690</v>
      </c>
      <c r="B24"/>
      <c r="C24" s="392">
        <f>INDEX(Assumptions!$A$6:$D$17,MATCH(A24,Assumptions!$A$6:$A$17,0),MATCH($C$12,Assumptions!$A$6:$D$6,0))</f>
        <v>5.4290928100512335E-3</v>
      </c>
      <c r="E24" s="29"/>
      <c r="F24" s="213" t="s">
        <v>790</v>
      </c>
      <c r="G24" s="434">
        <f ca="1">IF(G$4&lt;=$C$32,((IF(MOD(G4,Maintenance!$B$60)=0,Maintenance!$H$38,0))*(1+$C$24)^G$4),"")</f>
        <v>0</v>
      </c>
      <c r="H24" s="434">
        <f ca="1">G24*$C$40</f>
        <v>0</v>
      </c>
      <c r="I24" s="434">
        <f ca="1">IF(I$4&lt;=$C$32,((IF(MOD(I4,Maintenance!$B$60)=0,Maintenance!$H$38,0))*(1+$C$24)^I$4),"")</f>
        <v>0</v>
      </c>
      <c r="J24" s="434">
        <f ca="1">IF(J$4&lt;=$C$32,((IF(MOD(J4,Maintenance!$B$60)=0,Maintenance!$H$38,0))*(1+$C$24)^J$4),"")</f>
        <v>0</v>
      </c>
      <c r="K24" s="434">
        <f ca="1">IF(K$4&lt;=$C$32,((IF(MOD(K4,Maintenance!$B$60)=0,Maintenance!$H$38,0))*(1+$C$24)^K$4),"")</f>
        <v>0</v>
      </c>
      <c r="L24" s="434">
        <f ca="1">IF(L$4&lt;=$C$32,((IF(MOD(L4,Maintenance!$B$60)=0,Maintenance!$H$38,0))*(1+$C$24)^L$4),"")</f>
        <v>0</v>
      </c>
      <c r="M24" s="434">
        <f ca="1">IF(M$4&lt;=$C$32,((IF(MOD(M4,Maintenance!$B$60)=0,Maintenance!$H$38,0))*(1+$C$24)^M$4),"")</f>
        <v>0</v>
      </c>
      <c r="N24" s="434">
        <f ca="1">IF(N$4&lt;=$C$32,((IF(MOD(N4,Maintenance!$B$60)=0,Maintenance!$H$38,0))*(1+$C$24)^N$4),"")</f>
        <v>160961.37050580251</v>
      </c>
      <c r="O24" s="434">
        <f ca="1">IF(O$4&lt;=$C$32,((IF(MOD(O4,Maintenance!$B$60)=0,Maintenance!$H$38,0))*(1+$C$24)^O$4),"")</f>
        <v>0</v>
      </c>
      <c r="P24" s="434">
        <f ca="1">IF(P$4&lt;=$C$32,((IF(MOD(P4,Maintenance!$B$60)=0,Maintenance!$H$38,0))*(1+$C$24)^P$4),"")</f>
        <v>0</v>
      </c>
      <c r="Q24" s="434">
        <f ca="1">IF(Q$4&lt;=$C$32,((IF(MOD(Q4,Maintenance!$B$60)=0,Maintenance!$H$38,0))*(1+$C$24)^Q$4),"")</f>
        <v>0</v>
      </c>
      <c r="R24" s="434">
        <f ca="1">IF(R$4&lt;=$C$32,((IF(MOD(R4,Maintenance!$B$60)=0,Maintenance!$H$38,0))*(1+$C$24)^R$4),"")</f>
        <v>0</v>
      </c>
      <c r="S24" s="434">
        <f ca="1">IF(S$4&lt;=$C$32,((IF(MOD(S4,Maintenance!$B$60)=0,Maintenance!$H$38,0))*(1+$C$24)^S$4),"")</f>
        <v>0</v>
      </c>
      <c r="T24" s="434">
        <f ca="1">IF(T$4&lt;=$C$32,((IF(MOD(T4,Maintenance!$B$60)=0,Maintenance!$H$38,0))*(1+$C$24)^T$4),"")</f>
        <v>0</v>
      </c>
      <c r="U24" s="434">
        <f ca="1">IF(U$4&lt;=$C$32,((IF(MOD(U4,Maintenance!$B$60)=0,Maintenance!$H$38,0))*(1+$C$24)^U$4),"")</f>
        <v>167179.02769237233</v>
      </c>
      <c r="V24" s="434">
        <f ca="1">IF(V$4&lt;=$C$32,((IF(MOD(V4,Maintenance!$B$60)=0,Maintenance!$H$38,0))*(1+$C$24)^V$4),"")</f>
        <v>0</v>
      </c>
      <c r="W24" s="434">
        <f ca="1">IF(W$4&lt;=$C$32,((IF(MOD(W4,Maintenance!$B$60)=0,Maintenance!$H$38,0))*(1+$C$24)^W$4),"")</f>
        <v>0</v>
      </c>
      <c r="X24" s="434">
        <f ca="1">IF(X$4&lt;=$C$32,((IF(MOD(X4,Maintenance!$B$60)=0,Maintenance!$H$38,0))*(1+$C$24)^X$4),"")</f>
        <v>0</v>
      </c>
      <c r="Y24" s="434">
        <f ca="1">IF(Y$4&lt;=$C$32,((IF(MOD(Y4,Maintenance!$B$60)=0,Maintenance!$H$38,0))*(1+$C$24)^Y$4),"")</f>
        <v>0</v>
      </c>
      <c r="Z24" s="434">
        <f ca="1">IF(Z$4&lt;=$C$32,((IF(MOD(Z4,Maintenance!$B$60)=0,Maintenance!$H$38,0))*(1+$C$24)^Z$4),"")</f>
        <v>0</v>
      </c>
      <c r="AA24" s="434">
        <f ca="1">IF(AA$4&lt;=$C$32,((IF(MOD(AA4,Maintenance!$B$60)=0,Maintenance!$H$38,0))*(1+$C$24)^AA$4),"")</f>
        <v>0</v>
      </c>
      <c r="AB24" s="434" t="str">
        <f>IF(AB$4&lt;=$C$32,((IF(MOD(AB4,Maintenance!$B$60)=0,Maintenance!$H$38,0))*(1+$C$24)^AB$4),"")</f>
        <v/>
      </c>
      <c r="AC24" s="229"/>
    </row>
    <row r="25" spans="1:29" ht="15">
      <c r="A25" s="29" t="s">
        <v>212</v>
      </c>
      <c r="B25"/>
      <c r="C25" s="392">
        <f>INDEX(Assumptions!$A$6:$D$17,MATCH(A25,Assumptions!$A$6:$A$17,0),MATCH($C$12,Assumptions!$A$6:$D$6,0))</f>
        <v>1.4619047619047618E-2</v>
      </c>
      <c r="E25" s="29"/>
      <c r="F25" s="29" t="s">
        <v>8</v>
      </c>
      <c r="G25" s="435">
        <f ca="1">IF(G$4&lt;=$C$32,SUM(G22:G24),"")</f>
        <v>121319.13017958385</v>
      </c>
      <c r="H25" s="435">
        <f t="shared" ref="H25:AB25" ca="1" si="5">IF(H$4&lt;=$C$32,SUM(H22:H24),"")</f>
        <v>84424.819357847387</v>
      </c>
      <c r="I25" s="435">
        <f t="shared" ca="1" si="5"/>
        <v>126480.68193105308</v>
      </c>
      <c r="J25" s="435">
        <f t="shared" ca="1" si="5"/>
        <v>128220.56784960195</v>
      </c>
      <c r="K25" s="435">
        <f t="shared" ca="1" si="5"/>
        <v>129688.16639048362</v>
      </c>
      <c r="L25" s="435">
        <f t="shared" ca="1" si="5"/>
        <v>132309.18535219569</v>
      </c>
      <c r="M25" s="435">
        <f t="shared" ca="1" si="5"/>
        <v>134933.63235220202</v>
      </c>
      <c r="N25" s="435">
        <f t="shared" ca="1" si="5"/>
        <v>298593.67550504854</v>
      </c>
      <c r="O25" s="435">
        <f t="shared" ca="1" si="5"/>
        <v>140384.95109923097</v>
      </c>
      <c r="P25" s="435">
        <f t="shared" ca="1" si="5"/>
        <v>143192.65012121559</v>
      </c>
      <c r="Q25" s="435">
        <f t="shared" ca="1" si="5"/>
        <v>146056.50312363991</v>
      </c>
      <c r="R25" s="435">
        <f t="shared" ca="1" si="5"/>
        <v>148977.63318611268</v>
      </c>
      <c r="S25" s="435">
        <f t="shared" ca="1" si="5"/>
        <v>151957.18584983496</v>
      </c>
      <c r="T25" s="435">
        <f t="shared" ca="1" si="5"/>
        <v>154996.32956683164</v>
      </c>
      <c r="U25" s="435">
        <f t="shared" ca="1" si="5"/>
        <v>325275.28385054064</v>
      </c>
      <c r="V25" s="435">
        <f t="shared" ca="1" si="5"/>
        <v>161258.18128133161</v>
      </c>
      <c r="W25" s="435">
        <f t="shared" ca="1" si="5"/>
        <v>164483.34490695829</v>
      </c>
      <c r="X25" s="435">
        <f t="shared" ca="1" si="5"/>
        <v>167773.01180509746</v>
      </c>
      <c r="Y25" s="435">
        <f t="shared" ca="1" si="5"/>
        <v>171128.47204119939</v>
      </c>
      <c r="Z25" s="435">
        <f t="shared" ca="1" si="5"/>
        <v>174551.04148202337</v>
      </c>
      <c r="AA25" s="435">
        <f t="shared" ca="1" si="5"/>
        <v>178042.06231166387</v>
      </c>
      <c r="AB25" s="435" t="str">
        <f t="shared" si="5"/>
        <v/>
      </c>
      <c r="AC25" s="435"/>
    </row>
    <row r="26" spans="1:29" ht="15">
      <c r="A26" s="29"/>
      <c r="B26"/>
      <c r="C26" s="235"/>
      <c r="E26" s="29"/>
      <c r="F26" s="29"/>
      <c r="G26" s="435"/>
      <c r="H26" s="435"/>
      <c r="I26" s="435"/>
      <c r="J26" s="435"/>
      <c r="K26" s="435"/>
      <c r="L26" s="435"/>
      <c r="M26" s="435"/>
      <c r="N26" s="435"/>
      <c r="O26" s="435"/>
      <c r="P26" s="435"/>
      <c r="Q26" s="435"/>
      <c r="R26" s="435"/>
      <c r="S26" s="435"/>
      <c r="T26" s="435"/>
      <c r="U26" s="435"/>
      <c r="V26" s="435"/>
      <c r="W26" s="435"/>
      <c r="X26" s="435"/>
      <c r="Y26" s="435"/>
      <c r="Z26" s="435"/>
      <c r="AA26" s="435"/>
      <c r="AB26" s="435"/>
      <c r="AC26" s="215"/>
    </row>
    <row r="27" spans="1:29" ht="15">
      <c r="A27" s="270" t="s">
        <v>254</v>
      </c>
      <c r="B27"/>
      <c r="C27" s="35"/>
      <c r="E27" s="29"/>
      <c r="F27" s="221" t="s">
        <v>245</v>
      </c>
      <c r="G27" s="437">
        <f t="shared" ref="G27:AB27" ca="1" si="6">IF(G$4&lt;=$C$32,G20-G25,"")</f>
        <v>214244.11840423866</v>
      </c>
      <c r="H27" s="437">
        <f t="shared" ca="1" si="6"/>
        <v>149090.42760185376</v>
      </c>
      <c r="I27" s="437">
        <f t="shared" ca="1" si="6"/>
        <v>220515.07735886783</v>
      </c>
      <c r="J27" s="437">
        <f t="shared" ca="1" si="6"/>
        <v>229547.90400043677</v>
      </c>
      <c r="K27" s="437">
        <f t="shared" ca="1" si="6"/>
        <v>238105.6556757061</v>
      </c>
      <c r="L27" s="437">
        <f t="shared" ca="1" si="6"/>
        <v>242840.51315531792</v>
      </c>
      <c r="M27" s="437">
        <f t="shared" ca="1" si="6"/>
        <v>247719.06012546184</v>
      </c>
      <c r="N27" s="437">
        <f t="shared" ca="1" si="6"/>
        <v>91712.070822168549</v>
      </c>
      <c r="O27" s="437">
        <f t="shared" ca="1" si="6"/>
        <v>257726.9101545306</v>
      </c>
      <c r="P27" s="437">
        <f t="shared" ca="1" si="6"/>
        <v>262881.44835762121</v>
      </c>
      <c r="Q27" s="437">
        <f t="shared" ca="1" si="6"/>
        <v>268139.07732477359</v>
      </c>
      <c r="R27" s="437">
        <f t="shared" ca="1" si="6"/>
        <v>273501.8588712691</v>
      </c>
      <c r="S27" s="437">
        <f t="shared" ca="1" si="6"/>
        <v>278971.8960486945</v>
      </c>
      <c r="T27" s="437">
        <f t="shared" ca="1" si="6"/>
        <v>284551.33396966831</v>
      </c>
      <c r="U27" s="437">
        <f t="shared" ca="1" si="6"/>
        <v>123063.33295668941</v>
      </c>
      <c r="V27" s="437">
        <f t="shared" ca="1" si="6"/>
        <v>296047.20786204305</v>
      </c>
      <c r="W27" s="437">
        <f t="shared" ca="1" si="6"/>
        <v>301968.15201928385</v>
      </c>
      <c r="X27" s="437">
        <f t="shared" ca="1" si="6"/>
        <v>308007.51505966956</v>
      </c>
      <c r="Y27" s="437">
        <f t="shared" ca="1" si="6"/>
        <v>314167.66536086291</v>
      </c>
      <c r="Z27" s="437">
        <f t="shared" ca="1" si="6"/>
        <v>320451.01866808027</v>
      </c>
      <c r="AA27" s="437">
        <f t="shared" ca="1" si="6"/>
        <v>326860.03904144181</v>
      </c>
      <c r="AB27" s="437" t="str">
        <f t="shared" si="6"/>
        <v/>
      </c>
      <c r="AC27" s="234"/>
    </row>
    <row r="28" spans="1:29" ht="15">
      <c r="A28" s="256" t="s">
        <v>363</v>
      </c>
      <c r="B28"/>
      <c r="C28" s="113" t="s">
        <v>364</v>
      </c>
      <c r="E28" s="29"/>
      <c r="F28" s="29"/>
      <c r="G28" s="434"/>
      <c r="H28" s="434"/>
      <c r="I28" s="434"/>
      <c r="J28" s="434"/>
      <c r="K28" s="434"/>
      <c r="L28" s="434"/>
      <c r="M28" s="434"/>
      <c r="N28" s="434"/>
      <c r="O28" s="434"/>
      <c r="P28" s="434"/>
      <c r="Q28" s="434"/>
      <c r="R28" s="434"/>
      <c r="S28" s="434"/>
      <c r="T28" s="434"/>
      <c r="U28" s="434"/>
      <c r="V28" s="434"/>
      <c r="W28" s="434"/>
      <c r="X28" s="434"/>
      <c r="Y28" s="434"/>
      <c r="Z28" s="434"/>
      <c r="AA28" s="434"/>
      <c r="AB28" s="434"/>
      <c r="AC28" s="216"/>
    </row>
    <row r="29" spans="1:29" ht="15">
      <c r="A29" s="29" t="s">
        <v>367</v>
      </c>
      <c r="B29"/>
      <c r="C29" s="117">
        <v>15</v>
      </c>
      <c r="E29" s="29"/>
      <c r="F29" s="213" t="s">
        <v>254</v>
      </c>
      <c r="G29" s="434">
        <f ca="1">IF(G$4&lt;=MIN($C$32,$C$29),$C$31,"")</f>
        <v>115192.20507692308</v>
      </c>
      <c r="H29" s="434">
        <f t="shared" ca="1" si="0"/>
        <v>80161.150930242366</v>
      </c>
      <c r="I29" s="434">
        <f t="shared" ref="I29:AB29" ca="1" si="7">IF(I$4&lt;=MIN($C$32,$C$29),$C$31,"")</f>
        <v>115192.20507692308</v>
      </c>
      <c r="J29" s="434">
        <f t="shared" ca="1" si="7"/>
        <v>115192.20507692308</v>
      </c>
      <c r="K29" s="434">
        <f t="shared" ca="1" si="7"/>
        <v>115192.20507692308</v>
      </c>
      <c r="L29" s="434">
        <f t="shared" ca="1" si="7"/>
        <v>115192.20507692308</v>
      </c>
      <c r="M29" s="434">
        <f t="shared" ca="1" si="7"/>
        <v>115192.20507692308</v>
      </c>
      <c r="N29" s="434">
        <f t="shared" ca="1" si="7"/>
        <v>115192.20507692308</v>
      </c>
      <c r="O29" s="434">
        <f t="shared" ca="1" si="7"/>
        <v>115192.20507692308</v>
      </c>
      <c r="P29" s="434">
        <f t="shared" ca="1" si="7"/>
        <v>115192.20507692308</v>
      </c>
      <c r="Q29" s="434">
        <f t="shared" ca="1" si="7"/>
        <v>115192.20507692308</v>
      </c>
      <c r="R29" s="434">
        <f t="shared" ca="1" si="7"/>
        <v>115192.20507692308</v>
      </c>
      <c r="S29" s="434">
        <f t="shared" ca="1" si="7"/>
        <v>115192.20507692308</v>
      </c>
      <c r="T29" s="434">
        <f t="shared" ca="1" si="7"/>
        <v>115192.20507692308</v>
      </c>
      <c r="U29" s="434">
        <f t="shared" ca="1" si="7"/>
        <v>115192.20507692308</v>
      </c>
      <c r="V29" s="434">
        <f t="shared" ca="1" si="7"/>
        <v>115192.20507692308</v>
      </c>
      <c r="W29" s="434" t="str">
        <f t="shared" si="7"/>
        <v/>
      </c>
      <c r="X29" s="434" t="str">
        <f t="shared" si="7"/>
        <v/>
      </c>
      <c r="Y29" s="434" t="str">
        <f t="shared" si="7"/>
        <v/>
      </c>
      <c r="Z29" s="434" t="str">
        <f t="shared" si="7"/>
        <v/>
      </c>
      <c r="AA29" s="434" t="str">
        <f t="shared" si="7"/>
        <v/>
      </c>
      <c r="AB29" s="434" t="str">
        <f t="shared" si="7"/>
        <v/>
      </c>
      <c r="AC29" s="229"/>
    </row>
    <row r="30" spans="1:29" ht="15">
      <c r="A30" s="29" t="s">
        <v>256</v>
      </c>
      <c r="B30"/>
      <c r="C30" s="117">
        <v>0</v>
      </c>
      <c r="E30" s="29"/>
      <c r="F30" s="213" t="s">
        <v>384</v>
      </c>
      <c r="G30" s="434">
        <f>IF(G$4&lt;=$C$29,IF(G$4=$C$32,$C$33,0),"")</f>
        <v>0</v>
      </c>
      <c r="H30" s="434">
        <f t="shared" si="0"/>
        <v>0</v>
      </c>
      <c r="I30" s="434">
        <f t="shared" ref="I30:AB30" si="8">IF(I$4&lt;=$C$29,IF(I$4=$C$32,$C$33,0),"")</f>
        <v>0</v>
      </c>
      <c r="J30" s="434">
        <f t="shared" si="8"/>
        <v>0</v>
      </c>
      <c r="K30" s="434">
        <f t="shared" si="8"/>
        <v>0</v>
      </c>
      <c r="L30" s="434">
        <f t="shared" si="8"/>
        <v>0</v>
      </c>
      <c r="M30" s="434">
        <f t="shared" si="8"/>
        <v>0</v>
      </c>
      <c r="N30" s="434">
        <f t="shared" si="8"/>
        <v>0</v>
      </c>
      <c r="O30" s="434">
        <f t="shared" si="8"/>
        <v>0</v>
      </c>
      <c r="P30" s="434">
        <f t="shared" si="8"/>
        <v>0</v>
      </c>
      <c r="Q30" s="434">
        <f t="shared" si="8"/>
        <v>0</v>
      </c>
      <c r="R30" s="434">
        <f t="shared" si="8"/>
        <v>0</v>
      </c>
      <c r="S30" s="434">
        <f t="shared" si="8"/>
        <v>0</v>
      </c>
      <c r="T30" s="434">
        <f t="shared" si="8"/>
        <v>0</v>
      </c>
      <c r="U30" s="434">
        <f t="shared" si="8"/>
        <v>0</v>
      </c>
      <c r="V30" s="434">
        <f t="shared" si="8"/>
        <v>0</v>
      </c>
      <c r="W30" s="434" t="str">
        <f t="shared" si="8"/>
        <v/>
      </c>
      <c r="X30" s="434" t="str">
        <f t="shared" si="8"/>
        <v/>
      </c>
      <c r="Y30" s="434" t="str">
        <f t="shared" si="8"/>
        <v/>
      </c>
      <c r="Z30" s="434" t="str">
        <f t="shared" si="8"/>
        <v/>
      </c>
      <c r="AA30" s="434" t="str">
        <f t="shared" si="8"/>
        <v/>
      </c>
      <c r="AB30" s="434" t="str">
        <f t="shared" si="8"/>
        <v/>
      </c>
      <c r="AC30" s="229"/>
    </row>
    <row r="31" spans="1:29" ht="15">
      <c r="A31" s="29" t="s">
        <v>358</v>
      </c>
      <c r="B31"/>
      <c r="C31" s="425">
        <f ca="1">('Master Tab'!$F$6-C30)/C29</f>
        <v>115192.20507692308</v>
      </c>
      <c r="E31" s="29"/>
      <c r="F31" s="29" t="s">
        <v>8</v>
      </c>
      <c r="G31" s="435">
        <f ca="1">IF(G$4&lt;=$C$32,SUM(G29:G30),"")</f>
        <v>115192.20507692308</v>
      </c>
      <c r="H31" s="435">
        <f t="shared" ca="1" si="0"/>
        <v>80161.150930242366</v>
      </c>
      <c r="I31" s="435">
        <f t="shared" ref="I31:AB31" ca="1" si="9">IF(I$4&lt;=$C$32,SUM(I29:I30),"")</f>
        <v>115192.20507692308</v>
      </c>
      <c r="J31" s="435">
        <f t="shared" ca="1" si="9"/>
        <v>115192.20507692308</v>
      </c>
      <c r="K31" s="435">
        <f t="shared" ca="1" si="9"/>
        <v>115192.20507692308</v>
      </c>
      <c r="L31" s="435">
        <f t="shared" ca="1" si="9"/>
        <v>115192.20507692308</v>
      </c>
      <c r="M31" s="435">
        <f t="shared" ca="1" si="9"/>
        <v>115192.20507692308</v>
      </c>
      <c r="N31" s="435">
        <f t="shared" ca="1" si="9"/>
        <v>115192.20507692308</v>
      </c>
      <c r="O31" s="435">
        <f t="shared" ca="1" si="9"/>
        <v>115192.20507692308</v>
      </c>
      <c r="P31" s="435">
        <f t="shared" ca="1" si="9"/>
        <v>115192.20507692308</v>
      </c>
      <c r="Q31" s="435">
        <f t="shared" ca="1" si="9"/>
        <v>115192.20507692308</v>
      </c>
      <c r="R31" s="435">
        <f t="shared" ca="1" si="9"/>
        <v>115192.20507692308</v>
      </c>
      <c r="S31" s="435">
        <f t="shared" ca="1" si="9"/>
        <v>115192.20507692308</v>
      </c>
      <c r="T31" s="435">
        <f t="shared" ca="1" si="9"/>
        <v>115192.20507692308</v>
      </c>
      <c r="U31" s="435">
        <f t="shared" ca="1" si="9"/>
        <v>115192.20507692308</v>
      </c>
      <c r="V31" s="435">
        <f t="shared" ca="1" si="9"/>
        <v>115192.20507692308</v>
      </c>
      <c r="W31" s="435">
        <f t="shared" si="9"/>
        <v>0</v>
      </c>
      <c r="X31" s="435">
        <f t="shared" si="9"/>
        <v>0</v>
      </c>
      <c r="Y31" s="435">
        <f t="shared" si="9"/>
        <v>0</v>
      </c>
      <c r="Z31" s="435">
        <f t="shared" si="9"/>
        <v>0</v>
      </c>
      <c r="AA31" s="435">
        <f t="shared" si="9"/>
        <v>0</v>
      </c>
      <c r="AB31" s="435" t="str">
        <f t="shared" si="9"/>
        <v/>
      </c>
      <c r="AC31" s="215"/>
    </row>
    <row r="32" spans="1:29" ht="15">
      <c r="A32" s="29" t="s">
        <v>366</v>
      </c>
      <c r="B32"/>
      <c r="C32" s="117">
        <f>INDEX(Assumptions!$A$6:$D$58,MATCH(A32,Assumptions!$A$6:$A$58,0),MATCH($C$12,Assumptions!$A$6:$D$6,0))</f>
        <v>20</v>
      </c>
      <c r="E32" s="29"/>
      <c r="F32" s="29"/>
      <c r="G32" s="434"/>
      <c r="H32" s="434"/>
      <c r="I32" s="434"/>
      <c r="J32" s="434"/>
      <c r="K32" s="434"/>
      <c r="L32" s="434"/>
      <c r="M32" s="434"/>
      <c r="N32" s="434"/>
      <c r="O32" s="434"/>
      <c r="P32" s="434"/>
      <c r="Q32" s="434"/>
      <c r="R32" s="434"/>
      <c r="S32" s="434"/>
      <c r="T32" s="434"/>
      <c r="U32" s="434"/>
      <c r="V32" s="434"/>
      <c r="W32" s="434"/>
      <c r="X32" s="434"/>
      <c r="Y32" s="434"/>
      <c r="Z32" s="434"/>
      <c r="AA32" s="434"/>
      <c r="AB32" s="434"/>
      <c r="AC32" s="216"/>
    </row>
    <row r="33" spans="1:29" ht="15">
      <c r="A33" s="29" t="s">
        <v>365</v>
      </c>
      <c r="B33"/>
      <c r="C33" s="425">
        <f ca="1">MAX((C29-C32)*C31,0)</f>
        <v>0</v>
      </c>
      <c r="E33" s="29"/>
      <c r="F33" s="217" t="s">
        <v>251</v>
      </c>
      <c r="G33" s="436">
        <f ca="1">IF(G$4&lt;=$C$32,G27-G31,"")</f>
        <v>99051.913327315575</v>
      </c>
      <c r="H33" s="436">
        <f t="shared" ca="1" si="0"/>
        <v>68929.276671611384</v>
      </c>
      <c r="I33" s="436">
        <f t="shared" ref="I33:AB33" ca="1" si="10">IF(I$4&lt;=$C$32,I27-I31,"")</f>
        <v>105322.87228194474</v>
      </c>
      <c r="J33" s="436">
        <f t="shared" ca="1" si="10"/>
        <v>114355.69892351369</v>
      </c>
      <c r="K33" s="436">
        <f t="shared" ca="1" si="10"/>
        <v>122913.45059878302</v>
      </c>
      <c r="L33" s="436">
        <f t="shared" ca="1" si="10"/>
        <v>127648.30807839484</v>
      </c>
      <c r="M33" s="436">
        <f t="shared" ca="1" si="10"/>
        <v>132526.85504853877</v>
      </c>
      <c r="N33" s="436">
        <f t="shared" ca="1" si="10"/>
        <v>-23480.134254754536</v>
      </c>
      <c r="O33" s="436">
        <f t="shared" ca="1" si="10"/>
        <v>142534.70507760753</v>
      </c>
      <c r="P33" s="436">
        <f t="shared" ca="1" si="10"/>
        <v>147689.24328069814</v>
      </c>
      <c r="Q33" s="436">
        <f t="shared" ca="1" si="10"/>
        <v>152946.87224785052</v>
      </c>
      <c r="R33" s="436">
        <f t="shared" ca="1" si="10"/>
        <v>158309.65379434603</v>
      </c>
      <c r="S33" s="436">
        <f t="shared" ca="1" si="10"/>
        <v>163779.69097177143</v>
      </c>
      <c r="T33" s="436">
        <f t="shared" ca="1" si="10"/>
        <v>169359.12889274524</v>
      </c>
      <c r="U33" s="436">
        <f t="shared" ca="1" si="10"/>
        <v>7871.1278797663253</v>
      </c>
      <c r="V33" s="436">
        <f t="shared" ca="1" si="10"/>
        <v>180855.00278511998</v>
      </c>
      <c r="W33" s="436">
        <f t="shared" ca="1" si="10"/>
        <v>301968.15201928385</v>
      </c>
      <c r="X33" s="436">
        <f t="shared" ca="1" si="10"/>
        <v>308007.51505966956</v>
      </c>
      <c r="Y33" s="436">
        <f t="shared" ca="1" si="10"/>
        <v>314167.66536086291</v>
      </c>
      <c r="Z33" s="436">
        <f t="shared" ca="1" si="10"/>
        <v>320451.01866808027</v>
      </c>
      <c r="AA33" s="436">
        <f t="shared" ca="1" si="10"/>
        <v>326860.03904144181</v>
      </c>
      <c r="AB33" s="436" t="str">
        <f t="shared" si="10"/>
        <v/>
      </c>
      <c r="AC33" s="232"/>
    </row>
    <row r="34" spans="1:29">
      <c r="A34" s="29"/>
      <c r="B34" s="29"/>
      <c r="C34" s="118"/>
      <c r="E34" s="29"/>
      <c r="F34" s="29"/>
      <c r="G34" s="434"/>
      <c r="H34" s="434"/>
      <c r="I34" s="434"/>
      <c r="J34" s="434"/>
      <c r="K34" s="434"/>
      <c r="L34" s="434"/>
      <c r="M34" s="434"/>
      <c r="N34" s="434"/>
      <c r="O34" s="434"/>
      <c r="P34" s="434"/>
      <c r="Q34" s="434"/>
      <c r="R34" s="434"/>
      <c r="S34" s="434"/>
      <c r="T34" s="434"/>
      <c r="U34" s="434"/>
      <c r="V34" s="434"/>
      <c r="W34" s="434"/>
      <c r="X34" s="434"/>
      <c r="Y34" s="434"/>
      <c r="Z34" s="434"/>
      <c r="AA34" s="434"/>
      <c r="AB34" s="29"/>
      <c r="AC34" s="29"/>
    </row>
    <row r="35" spans="1:29" ht="15">
      <c r="A35" s="29"/>
      <c r="B35"/>
      <c r="C35" s="117"/>
      <c r="E35" s="29"/>
      <c r="F35" s="29"/>
      <c r="G35" s="434"/>
      <c r="H35" s="434"/>
      <c r="I35" s="434"/>
      <c r="J35" s="434"/>
      <c r="K35" s="434"/>
      <c r="L35" s="434"/>
      <c r="M35" s="434"/>
      <c r="N35" s="434"/>
      <c r="O35" s="434"/>
      <c r="P35" s="434"/>
      <c r="Q35" s="434"/>
      <c r="R35" s="434"/>
      <c r="S35" s="434"/>
      <c r="T35" s="434"/>
      <c r="U35" s="434"/>
      <c r="V35" s="434"/>
      <c r="W35" s="434"/>
      <c r="X35" s="434"/>
      <c r="Y35" s="434"/>
      <c r="Z35" s="434"/>
      <c r="AA35" s="434"/>
      <c r="AB35" s="229"/>
      <c r="AC35" s="229"/>
    </row>
    <row r="36" spans="1:29" ht="15.75" thickBot="1">
      <c r="A36" s="46" t="s">
        <v>720</v>
      </c>
      <c r="B36" s="32"/>
      <c r="C36" s="32"/>
      <c r="E36" s="29"/>
      <c r="F36" s="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row>
    <row r="37" spans="1:29" ht="15">
      <c r="A37" s="256" t="s">
        <v>715</v>
      </c>
      <c r="B37"/>
      <c r="C37" s="504">
        <v>44743</v>
      </c>
      <c r="E37" s="266"/>
      <c r="F37" s="267"/>
      <c r="G37" s="228"/>
      <c r="H37" s="228"/>
      <c r="I37" s="228"/>
      <c r="J37" s="228"/>
      <c r="K37" s="228"/>
      <c r="L37" s="228"/>
      <c r="M37" s="228"/>
      <c r="N37" s="228"/>
      <c r="O37" s="228"/>
      <c r="P37" s="228"/>
      <c r="Q37" s="228"/>
      <c r="R37" s="228"/>
      <c r="S37" s="228"/>
      <c r="T37" s="228"/>
      <c r="U37" s="228"/>
      <c r="V37" s="228"/>
      <c r="W37" s="228"/>
      <c r="X37" s="228"/>
      <c r="Y37" s="228"/>
      <c r="Z37" s="228"/>
      <c r="AA37" s="228"/>
      <c r="AB37" s="29"/>
      <c r="AC37" s="29"/>
    </row>
    <row r="38" spans="1:29" ht="15">
      <c r="A38" s="29" t="s">
        <v>719</v>
      </c>
      <c r="B38"/>
      <c r="C38" s="427">
        <f>'Load Bank Pricing Breakdown'!B40</f>
        <v>42</v>
      </c>
    </row>
    <row r="39" spans="1:29" ht="15">
      <c r="A39" s="29" t="s">
        <v>721</v>
      </c>
      <c r="B39"/>
      <c r="C39" s="505">
        <f>C37+(C38*7)</f>
        <v>45037</v>
      </c>
    </row>
    <row r="40" spans="1:29" ht="15">
      <c r="A40" s="29" t="s">
        <v>723</v>
      </c>
      <c r="B40"/>
      <c r="C40" s="508">
        <f>YEARFRAC(C39,'Helper Sheet'!B10,1)</f>
        <v>0.69589041095890414</v>
      </c>
    </row>
    <row r="41" spans="1:29" ht="15">
      <c r="A41" s="29"/>
      <c r="B41"/>
      <c r="C41"/>
    </row>
  </sheetData>
  <mergeCells count="1">
    <mergeCell ref="G2:V2"/>
  </mergeCells>
  <dataValidations count="2">
    <dataValidation type="list" allowBlank="1" showInputMessage="1" showErrorMessage="1" sqref="C12" xr:uid="{B794CCFD-88EB-4906-B560-4BFB0D03637D}">
      <formula1>"Best Case, Most Likely Case, Worst Case"</formula1>
    </dataValidation>
    <dataValidation type="list" allowBlank="1" showInputMessage="1" showErrorMessage="1" sqref="C20" xr:uid="{37E53120-BC4F-4FE5-8411-DCD5326A54A8}">
      <formula1>"SAT 46, CYS08, Average"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28C45-F82E-4A69-A208-0B916AB21FE3}">
  <sheetPr codeName="Sheet31">
    <tabColor rgb="FFFFFF00"/>
  </sheetPr>
  <dimension ref="A1:AA35"/>
  <sheetViews>
    <sheetView showGridLines="0" zoomScale="95" zoomScaleNormal="95" workbookViewId="0">
      <pane xSplit="6" ySplit="5" topLeftCell="G6" activePane="bottomRight" state="frozen"/>
      <selection activeCell="B22" sqref="B22:D22"/>
      <selection pane="topRight" activeCell="B22" sqref="B22:D22"/>
      <selection pane="bottomLeft" activeCell="B22" sqref="B22:D22"/>
      <selection pane="bottomRight" activeCell="K35" sqref="K35"/>
    </sheetView>
  </sheetViews>
  <sheetFormatPr defaultRowHeight="15"/>
  <cols>
    <col min="1" max="1" width="3.140625" style="3" customWidth="1"/>
    <col min="2" max="2" width="19.28515625" style="3" customWidth="1"/>
    <col min="3" max="3" width="13.28515625" style="3" bestFit="1" customWidth="1"/>
    <col min="4" max="4" width="7.28515625" style="3" customWidth="1"/>
    <col min="5" max="5" width="19.7109375" style="3" customWidth="1"/>
    <col min="6" max="6" width="10.5703125" style="3" customWidth="1"/>
    <col min="7" max="7" width="11.140625" style="3" bestFit="1" customWidth="1"/>
    <col min="8" max="27" width="10.5703125" style="3" customWidth="1"/>
    <col min="28" max="260" width="8.7109375" style="3"/>
    <col min="261" max="261" width="37.5703125" style="3" customWidth="1"/>
    <col min="262" max="262" width="12.5703125" style="3" customWidth="1"/>
    <col min="263" max="271" width="13.42578125" style="3" customWidth="1"/>
    <col min="272" max="516" width="8.7109375" style="3"/>
    <col min="517" max="517" width="37.5703125" style="3" customWidth="1"/>
    <col min="518" max="518" width="12.5703125" style="3" customWidth="1"/>
    <col min="519" max="527" width="13.42578125" style="3" customWidth="1"/>
    <col min="528" max="772" width="8.7109375" style="3"/>
    <col min="773" max="773" width="37.5703125" style="3" customWidth="1"/>
    <col min="774" max="774" width="12.5703125" style="3" customWidth="1"/>
    <col min="775" max="783" width="13.42578125" style="3" customWidth="1"/>
    <col min="784" max="1028" width="8.7109375" style="3"/>
    <col min="1029" max="1029" width="37.5703125" style="3" customWidth="1"/>
    <col min="1030" max="1030" width="12.5703125" style="3" customWidth="1"/>
    <col min="1031" max="1039" width="13.42578125" style="3" customWidth="1"/>
    <col min="1040" max="1284" width="8.7109375" style="3"/>
    <col min="1285" max="1285" width="37.5703125" style="3" customWidth="1"/>
    <col min="1286" max="1286" width="12.5703125" style="3" customWidth="1"/>
    <col min="1287" max="1295" width="13.42578125" style="3" customWidth="1"/>
    <col min="1296" max="1540" width="8.7109375" style="3"/>
    <col min="1541" max="1541" width="37.5703125" style="3" customWidth="1"/>
    <col min="1542" max="1542" width="12.5703125" style="3" customWidth="1"/>
    <col min="1543" max="1551" width="13.42578125" style="3" customWidth="1"/>
    <col min="1552" max="1796" width="8.7109375" style="3"/>
    <col min="1797" max="1797" width="37.5703125" style="3" customWidth="1"/>
    <col min="1798" max="1798" width="12.5703125" style="3" customWidth="1"/>
    <col min="1799" max="1807" width="13.42578125" style="3" customWidth="1"/>
    <col min="1808" max="2052" width="8.7109375" style="3"/>
    <col min="2053" max="2053" width="37.5703125" style="3" customWidth="1"/>
    <col min="2054" max="2054" width="12.5703125" style="3" customWidth="1"/>
    <col min="2055" max="2063" width="13.42578125" style="3" customWidth="1"/>
    <col min="2064" max="2308" width="8.7109375" style="3"/>
    <col min="2309" max="2309" width="37.5703125" style="3" customWidth="1"/>
    <col min="2310" max="2310" width="12.5703125" style="3" customWidth="1"/>
    <col min="2311" max="2319" width="13.42578125" style="3" customWidth="1"/>
    <col min="2320" max="2564" width="8.7109375" style="3"/>
    <col min="2565" max="2565" width="37.5703125" style="3" customWidth="1"/>
    <col min="2566" max="2566" width="12.5703125" style="3" customWidth="1"/>
    <col min="2567" max="2575" width="13.42578125" style="3" customWidth="1"/>
    <col min="2576" max="2820" width="8.7109375" style="3"/>
    <col min="2821" max="2821" width="37.5703125" style="3" customWidth="1"/>
    <col min="2822" max="2822" width="12.5703125" style="3" customWidth="1"/>
    <col min="2823" max="2831" width="13.42578125" style="3" customWidth="1"/>
    <col min="2832" max="3076" width="8.7109375" style="3"/>
    <col min="3077" max="3077" width="37.5703125" style="3" customWidth="1"/>
    <col min="3078" max="3078" width="12.5703125" style="3" customWidth="1"/>
    <col min="3079" max="3087" width="13.42578125" style="3" customWidth="1"/>
    <col min="3088" max="3332" width="8.7109375" style="3"/>
    <col min="3333" max="3333" width="37.5703125" style="3" customWidth="1"/>
    <col min="3334" max="3334" width="12.5703125" style="3" customWidth="1"/>
    <col min="3335" max="3343" width="13.42578125" style="3" customWidth="1"/>
    <col min="3344" max="3588" width="8.7109375" style="3"/>
    <col min="3589" max="3589" width="37.5703125" style="3" customWidth="1"/>
    <col min="3590" max="3590" width="12.5703125" style="3" customWidth="1"/>
    <col min="3591" max="3599" width="13.42578125" style="3" customWidth="1"/>
    <col min="3600" max="3844" width="8.7109375" style="3"/>
    <col min="3845" max="3845" width="37.5703125" style="3" customWidth="1"/>
    <col min="3846" max="3846" width="12.5703125" style="3" customWidth="1"/>
    <col min="3847" max="3855" width="13.42578125" style="3" customWidth="1"/>
    <col min="3856" max="4100" width="8.7109375" style="3"/>
    <col min="4101" max="4101" width="37.5703125" style="3" customWidth="1"/>
    <col min="4102" max="4102" width="12.5703125" style="3" customWidth="1"/>
    <col min="4103" max="4111" width="13.42578125" style="3" customWidth="1"/>
    <col min="4112" max="4356" width="8.7109375" style="3"/>
    <col min="4357" max="4357" width="37.5703125" style="3" customWidth="1"/>
    <col min="4358" max="4358" width="12.5703125" style="3" customWidth="1"/>
    <col min="4359" max="4367" width="13.42578125" style="3" customWidth="1"/>
    <col min="4368" max="4612" width="8.7109375" style="3"/>
    <col min="4613" max="4613" width="37.5703125" style="3" customWidth="1"/>
    <col min="4614" max="4614" width="12.5703125" style="3" customWidth="1"/>
    <col min="4615" max="4623" width="13.42578125" style="3" customWidth="1"/>
    <col min="4624" max="4868" width="8.7109375" style="3"/>
    <col min="4869" max="4869" width="37.5703125" style="3" customWidth="1"/>
    <col min="4870" max="4870" width="12.5703125" style="3" customWidth="1"/>
    <col min="4871" max="4879" width="13.42578125" style="3" customWidth="1"/>
    <col min="4880" max="5124" width="8.7109375" style="3"/>
    <col min="5125" max="5125" width="37.5703125" style="3" customWidth="1"/>
    <col min="5126" max="5126" width="12.5703125" style="3" customWidth="1"/>
    <col min="5127" max="5135" width="13.42578125" style="3" customWidth="1"/>
    <col min="5136" max="5380" width="8.7109375" style="3"/>
    <col min="5381" max="5381" width="37.5703125" style="3" customWidth="1"/>
    <col min="5382" max="5382" width="12.5703125" style="3" customWidth="1"/>
    <col min="5383" max="5391" width="13.42578125" style="3" customWidth="1"/>
    <col min="5392" max="5636" width="8.7109375" style="3"/>
    <col min="5637" max="5637" width="37.5703125" style="3" customWidth="1"/>
    <col min="5638" max="5638" width="12.5703125" style="3" customWidth="1"/>
    <col min="5639" max="5647" width="13.42578125" style="3" customWidth="1"/>
    <col min="5648" max="5892" width="8.7109375" style="3"/>
    <col min="5893" max="5893" width="37.5703125" style="3" customWidth="1"/>
    <col min="5894" max="5894" width="12.5703125" style="3" customWidth="1"/>
    <col min="5895" max="5903" width="13.42578125" style="3" customWidth="1"/>
    <col min="5904" max="6148" width="8.7109375" style="3"/>
    <col min="6149" max="6149" width="37.5703125" style="3" customWidth="1"/>
    <col min="6150" max="6150" width="12.5703125" style="3" customWidth="1"/>
    <col min="6151" max="6159" width="13.42578125" style="3" customWidth="1"/>
    <col min="6160" max="6404" width="8.7109375" style="3"/>
    <col min="6405" max="6405" width="37.5703125" style="3" customWidth="1"/>
    <col min="6406" max="6406" width="12.5703125" style="3" customWidth="1"/>
    <col min="6407" max="6415" width="13.42578125" style="3" customWidth="1"/>
    <col min="6416" max="6660" width="8.7109375" style="3"/>
    <col min="6661" max="6661" width="37.5703125" style="3" customWidth="1"/>
    <col min="6662" max="6662" width="12.5703125" style="3" customWidth="1"/>
    <col min="6663" max="6671" width="13.42578125" style="3" customWidth="1"/>
    <col min="6672" max="6916" width="8.7109375" style="3"/>
    <col min="6917" max="6917" width="37.5703125" style="3" customWidth="1"/>
    <col min="6918" max="6918" width="12.5703125" style="3" customWidth="1"/>
    <col min="6919" max="6927" width="13.42578125" style="3" customWidth="1"/>
    <col min="6928" max="7172" width="8.7109375" style="3"/>
    <col min="7173" max="7173" width="37.5703125" style="3" customWidth="1"/>
    <col min="7174" max="7174" width="12.5703125" style="3" customWidth="1"/>
    <col min="7175" max="7183" width="13.42578125" style="3" customWidth="1"/>
    <col min="7184" max="7428" width="8.7109375" style="3"/>
    <col min="7429" max="7429" width="37.5703125" style="3" customWidth="1"/>
    <col min="7430" max="7430" width="12.5703125" style="3" customWidth="1"/>
    <col min="7431" max="7439" width="13.42578125" style="3" customWidth="1"/>
    <col min="7440" max="7684" width="8.7109375" style="3"/>
    <col min="7685" max="7685" width="37.5703125" style="3" customWidth="1"/>
    <col min="7686" max="7686" width="12.5703125" style="3" customWidth="1"/>
    <col min="7687" max="7695" width="13.42578125" style="3" customWidth="1"/>
    <col min="7696" max="7940" width="8.7109375" style="3"/>
    <col min="7941" max="7941" width="37.5703125" style="3" customWidth="1"/>
    <col min="7942" max="7942" width="12.5703125" style="3" customWidth="1"/>
    <col min="7943" max="7951" width="13.42578125" style="3" customWidth="1"/>
    <col min="7952" max="8196" width="8.7109375" style="3"/>
    <col min="8197" max="8197" width="37.5703125" style="3" customWidth="1"/>
    <col min="8198" max="8198" width="12.5703125" style="3" customWidth="1"/>
    <col min="8199" max="8207" width="13.42578125" style="3" customWidth="1"/>
    <col min="8208" max="8452" width="8.7109375" style="3"/>
    <col min="8453" max="8453" width="37.5703125" style="3" customWidth="1"/>
    <col min="8454" max="8454" width="12.5703125" style="3" customWidth="1"/>
    <col min="8455" max="8463" width="13.42578125" style="3" customWidth="1"/>
    <col min="8464" max="8708" width="8.7109375" style="3"/>
    <col min="8709" max="8709" width="37.5703125" style="3" customWidth="1"/>
    <col min="8710" max="8710" width="12.5703125" style="3" customWidth="1"/>
    <col min="8711" max="8719" width="13.42578125" style="3" customWidth="1"/>
    <col min="8720" max="8964" width="8.7109375" style="3"/>
    <col min="8965" max="8965" width="37.5703125" style="3" customWidth="1"/>
    <col min="8966" max="8966" width="12.5703125" style="3" customWidth="1"/>
    <col min="8967" max="8975" width="13.42578125" style="3" customWidth="1"/>
    <col min="8976" max="9220" width="8.7109375" style="3"/>
    <col min="9221" max="9221" width="37.5703125" style="3" customWidth="1"/>
    <col min="9222" max="9222" width="12.5703125" style="3" customWidth="1"/>
    <col min="9223" max="9231" width="13.42578125" style="3" customWidth="1"/>
    <col min="9232" max="9476" width="8.7109375" style="3"/>
    <col min="9477" max="9477" width="37.5703125" style="3" customWidth="1"/>
    <col min="9478" max="9478" width="12.5703125" style="3" customWidth="1"/>
    <col min="9479" max="9487" width="13.42578125" style="3" customWidth="1"/>
    <col min="9488" max="9732" width="8.7109375" style="3"/>
    <col min="9733" max="9733" width="37.5703125" style="3" customWidth="1"/>
    <col min="9734" max="9734" width="12.5703125" style="3" customWidth="1"/>
    <col min="9735" max="9743" width="13.42578125" style="3" customWidth="1"/>
    <col min="9744" max="9988" width="8.7109375" style="3"/>
    <col min="9989" max="9989" width="37.5703125" style="3" customWidth="1"/>
    <col min="9990" max="9990" width="12.5703125" style="3" customWidth="1"/>
    <col min="9991" max="9999" width="13.42578125" style="3" customWidth="1"/>
    <col min="10000" max="10244" width="8.7109375" style="3"/>
    <col min="10245" max="10245" width="37.5703125" style="3" customWidth="1"/>
    <col min="10246" max="10246" width="12.5703125" style="3" customWidth="1"/>
    <col min="10247" max="10255" width="13.42578125" style="3" customWidth="1"/>
    <col min="10256" max="10500" width="8.7109375" style="3"/>
    <col min="10501" max="10501" width="37.5703125" style="3" customWidth="1"/>
    <col min="10502" max="10502" width="12.5703125" style="3" customWidth="1"/>
    <col min="10503" max="10511" width="13.42578125" style="3" customWidth="1"/>
    <col min="10512" max="10756" width="8.7109375" style="3"/>
    <col min="10757" max="10757" width="37.5703125" style="3" customWidth="1"/>
    <col min="10758" max="10758" width="12.5703125" style="3" customWidth="1"/>
    <col min="10759" max="10767" width="13.42578125" style="3" customWidth="1"/>
    <col min="10768" max="11012" width="8.7109375" style="3"/>
    <col min="11013" max="11013" width="37.5703125" style="3" customWidth="1"/>
    <col min="11014" max="11014" width="12.5703125" style="3" customWidth="1"/>
    <col min="11015" max="11023" width="13.42578125" style="3" customWidth="1"/>
    <col min="11024" max="11268" width="8.7109375" style="3"/>
    <col min="11269" max="11269" width="37.5703125" style="3" customWidth="1"/>
    <col min="11270" max="11270" width="12.5703125" style="3" customWidth="1"/>
    <col min="11271" max="11279" width="13.42578125" style="3" customWidth="1"/>
    <col min="11280" max="11524" width="8.7109375" style="3"/>
    <col min="11525" max="11525" width="37.5703125" style="3" customWidth="1"/>
    <col min="11526" max="11526" width="12.5703125" style="3" customWidth="1"/>
    <col min="11527" max="11535" width="13.42578125" style="3" customWidth="1"/>
    <col min="11536" max="11780" width="8.7109375" style="3"/>
    <col min="11781" max="11781" width="37.5703125" style="3" customWidth="1"/>
    <col min="11782" max="11782" width="12.5703125" style="3" customWidth="1"/>
    <col min="11783" max="11791" width="13.42578125" style="3" customWidth="1"/>
    <col min="11792" max="12036" width="8.7109375" style="3"/>
    <col min="12037" max="12037" width="37.5703125" style="3" customWidth="1"/>
    <col min="12038" max="12038" width="12.5703125" style="3" customWidth="1"/>
    <col min="12039" max="12047" width="13.42578125" style="3" customWidth="1"/>
    <col min="12048" max="12292" width="8.7109375" style="3"/>
    <col min="12293" max="12293" width="37.5703125" style="3" customWidth="1"/>
    <col min="12294" max="12294" width="12.5703125" style="3" customWidth="1"/>
    <col min="12295" max="12303" width="13.42578125" style="3" customWidth="1"/>
    <col min="12304" max="12548" width="8.7109375" style="3"/>
    <col min="12549" max="12549" width="37.5703125" style="3" customWidth="1"/>
    <col min="12550" max="12550" width="12.5703125" style="3" customWidth="1"/>
    <col min="12551" max="12559" width="13.42578125" style="3" customWidth="1"/>
    <col min="12560" max="12804" width="8.7109375" style="3"/>
    <col min="12805" max="12805" width="37.5703125" style="3" customWidth="1"/>
    <col min="12806" max="12806" width="12.5703125" style="3" customWidth="1"/>
    <col min="12807" max="12815" width="13.42578125" style="3" customWidth="1"/>
    <col min="12816" max="13060" width="8.7109375" style="3"/>
    <col min="13061" max="13061" width="37.5703125" style="3" customWidth="1"/>
    <col min="13062" max="13062" width="12.5703125" style="3" customWidth="1"/>
    <col min="13063" max="13071" width="13.42578125" style="3" customWidth="1"/>
    <col min="13072" max="13316" width="8.7109375" style="3"/>
    <col min="13317" max="13317" width="37.5703125" style="3" customWidth="1"/>
    <col min="13318" max="13318" width="12.5703125" style="3" customWidth="1"/>
    <col min="13319" max="13327" width="13.42578125" style="3" customWidth="1"/>
    <col min="13328" max="13572" width="8.7109375" style="3"/>
    <col min="13573" max="13573" width="37.5703125" style="3" customWidth="1"/>
    <col min="13574" max="13574" width="12.5703125" style="3" customWidth="1"/>
    <col min="13575" max="13583" width="13.42578125" style="3" customWidth="1"/>
    <col min="13584" max="13828" width="8.7109375" style="3"/>
    <col min="13829" max="13829" width="37.5703125" style="3" customWidth="1"/>
    <col min="13830" max="13830" width="12.5703125" style="3" customWidth="1"/>
    <col min="13831" max="13839" width="13.42578125" style="3" customWidth="1"/>
    <col min="13840" max="14084" width="8.7109375" style="3"/>
    <col min="14085" max="14085" width="37.5703125" style="3" customWidth="1"/>
    <col min="14086" max="14086" width="12.5703125" style="3" customWidth="1"/>
    <col min="14087" max="14095" width="13.42578125" style="3" customWidth="1"/>
    <col min="14096" max="14340" width="8.7109375" style="3"/>
    <col min="14341" max="14341" width="37.5703125" style="3" customWidth="1"/>
    <col min="14342" max="14342" width="12.5703125" style="3" customWidth="1"/>
    <col min="14343" max="14351" width="13.42578125" style="3" customWidth="1"/>
    <col min="14352" max="14596" width="8.7109375" style="3"/>
    <col min="14597" max="14597" width="37.5703125" style="3" customWidth="1"/>
    <col min="14598" max="14598" width="12.5703125" style="3" customWidth="1"/>
    <col min="14599" max="14607" width="13.42578125" style="3" customWidth="1"/>
    <col min="14608" max="14852" width="8.7109375" style="3"/>
    <col min="14853" max="14853" width="37.5703125" style="3" customWidth="1"/>
    <col min="14854" max="14854" width="12.5703125" style="3" customWidth="1"/>
    <col min="14855" max="14863" width="13.42578125" style="3" customWidth="1"/>
    <col min="14864" max="15108" width="8.7109375" style="3"/>
    <col min="15109" max="15109" width="37.5703125" style="3" customWidth="1"/>
    <col min="15110" max="15110" width="12.5703125" style="3" customWidth="1"/>
    <col min="15111" max="15119" width="13.42578125" style="3" customWidth="1"/>
    <col min="15120" max="15364" width="8.7109375" style="3"/>
    <col min="15365" max="15365" width="37.5703125" style="3" customWidth="1"/>
    <col min="15366" max="15366" width="12.5703125" style="3" customWidth="1"/>
    <col min="15367" max="15375" width="13.42578125" style="3" customWidth="1"/>
    <col min="15376" max="15620" width="8.7109375" style="3"/>
    <col min="15621" max="15621" width="37.5703125" style="3" customWidth="1"/>
    <col min="15622" max="15622" width="12.5703125" style="3" customWidth="1"/>
    <col min="15623" max="15631" width="13.42578125" style="3" customWidth="1"/>
    <col min="15632" max="15876" width="8.7109375" style="3"/>
    <col min="15877" max="15877" width="37.5703125" style="3" customWidth="1"/>
    <col min="15878" max="15878" width="12.5703125" style="3" customWidth="1"/>
    <col min="15879" max="15887" width="13.42578125" style="3" customWidth="1"/>
    <col min="15888" max="16132" width="8.7109375" style="3"/>
    <col min="16133" max="16133" width="37.5703125" style="3" customWidth="1"/>
    <col min="16134" max="16134" width="12.5703125" style="3" customWidth="1"/>
    <col min="16135" max="16143" width="13.42578125" style="3" customWidth="1"/>
    <col min="16144" max="16384" width="8.7109375" style="3"/>
  </cols>
  <sheetData>
    <row r="1" spans="1:27" ht="32.25">
      <c r="A1" s="1"/>
      <c r="B1" s="2"/>
      <c r="C1" s="2"/>
      <c r="E1" s="1" t="s">
        <v>119</v>
      </c>
      <c r="F1" s="2"/>
      <c r="G1" s="2"/>
      <c r="H1" s="2"/>
      <c r="I1" s="2"/>
      <c r="J1" s="2"/>
      <c r="K1" s="2"/>
      <c r="L1" s="2"/>
      <c r="M1" s="2"/>
      <c r="N1" s="2"/>
      <c r="O1" s="2"/>
      <c r="P1" s="2"/>
      <c r="Q1" s="2"/>
      <c r="R1" s="2"/>
      <c r="S1" s="2"/>
      <c r="T1" s="2"/>
      <c r="U1" s="2"/>
      <c r="V1" s="2"/>
      <c r="W1" s="2"/>
      <c r="X1" s="2"/>
      <c r="Y1" s="2"/>
      <c r="Z1" s="2"/>
      <c r="AA1" s="2"/>
    </row>
    <row r="2" spans="1:27" ht="23.25">
      <c r="A2" s="27" t="s">
        <v>15</v>
      </c>
      <c r="B2" s="2"/>
      <c r="C2" s="2"/>
      <c r="E2" s="332" t="s">
        <v>700</v>
      </c>
      <c r="F2" s="2"/>
      <c r="G2" s="2"/>
      <c r="H2" s="2"/>
      <c r="I2" s="2"/>
      <c r="J2" s="2"/>
      <c r="K2" s="2"/>
      <c r="L2" s="2"/>
      <c r="M2" s="2"/>
      <c r="N2" s="2"/>
      <c r="O2" s="2"/>
      <c r="P2" s="2"/>
      <c r="Q2" s="2"/>
      <c r="R2" s="2"/>
      <c r="S2" s="2"/>
      <c r="T2" s="2"/>
      <c r="U2" s="2"/>
      <c r="V2" s="2"/>
      <c r="W2" s="2"/>
      <c r="X2" s="2"/>
      <c r="Y2" s="2"/>
      <c r="Z2" s="2"/>
      <c r="AA2" s="2"/>
    </row>
    <row r="3" spans="1:27" s="34" customFormat="1" ht="21" thickBot="1">
      <c r="A3" s="46" t="s">
        <v>74</v>
      </c>
      <c r="B3" s="32"/>
      <c r="C3" s="32"/>
      <c r="E3" s="28"/>
      <c r="F3" s="29"/>
      <c r="G3" s="29"/>
      <c r="H3" s="29"/>
      <c r="I3" s="29"/>
      <c r="J3" s="29"/>
      <c r="K3" s="29"/>
      <c r="L3" s="29"/>
      <c r="M3" s="29"/>
      <c r="N3" s="29"/>
      <c r="O3" s="29"/>
      <c r="P3" s="29"/>
      <c r="Q3" s="29"/>
      <c r="R3" s="29"/>
      <c r="S3" s="29"/>
      <c r="T3" s="29"/>
      <c r="U3" s="29"/>
      <c r="V3" s="29"/>
      <c r="W3" s="29"/>
      <c r="X3" s="29"/>
      <c r="Y3" s="29"/>
      <c r="Z3" s="29"/>
      <c r="AA3" s="29"/>
    </row>
    <row r="4" spans="1:27">
      <c r="A4" s="256" t="s">
        <v>694</v>
      </c>
      <c r="B4"/>
      <c r="C4" s="117">
        <f>HLOOKUP($C$12,Assumptions!$B$6:$D$8,3,FALSE)</f>
        <v>1</v>
      </c>
      <c r="E4" s="238" t="s">
        <v>122</v>
      </c>
      <c r="F4" s="225">
        <v>0</v>
      </c>
      <c r="G4" s="225">
        <v>1</v>
      </c>
      <c r="H4" s="225">
        <v>2</v>
      </c>
      <c r="I4" s="225">
        <v>3</v>
      </c>
      <c r="J4" s="225">
        <v>4</v>
      </c>
      <c r="K4" s="225">
        <v>5</v>
      </c>
      <c r="L4" s="225">
        <v>6</v>
      </c>
      <c r="M4" s="225">
        <v>7</v>
      </c>
      <c r="N4" s="225">
        <v>8</v>
      </c>
      <c r="O4" s="225">
        <v>9</v>
      </c>
      <c r="P4" s="225">
        <v>10</v>
      </c>
      <c r="Q4" s="225">
        <v>11</v>
      </c>
      <c r="R4" s="225">
        <v>12</v>
      </c>
      <c r="S4" s="225">
        <v>13</v>
      </c>
      <c r="T4" s="225">
        <v>14</v>
      </c>
      <c r="U4" s="225">
        <v>15</v>
      </c>
      <c r="V4" s="225">
        <v>16</v>
      </c>
      <c r="W4" s="225">
        <v>17</v>
      </c>
      <c r="X4" s="225">
        <v>18</v>
      </c>
      <c r="Y4" s="225">
        <v>19</v>
      </c>
      <c r="Z4" s="225">
        <v>20</v>
      </c>
      <c r="AA4" s="225">
        <v>21</v>
      </c>
    </row>
    <row r="5" spans="1:27" ht="15.75" thickBot="1">
      <c r="A5" s="256" t="s">
        <v>695</v>
      </c>
      <c r="B5"/>
      <c r="C5" s="117">
        <v>0</v>
      </c>
      <c r="E5" s="31"/>
      <c r="F5" s="432">
        <v>2022</v>
      </c>
      <c r="G5" s="432">
        <v>2023</v>
      </c>
      <c r="H5" s="432">
        <v>2024</v>
      </c>
      <c r="I5" s="432">
        <v>2025</v>
      </c>
      <c r="J5" s="432">
        <v>2026</v>
      </c>
      <c r="K5" s="432">
        <v>2027</v>
      </c>
      <c r="L5" s="432">
        <v>2028</v>
      </c>
      <c r="M5" s="432">
        <v>2029</v>
      </c>
      <c r="N5" s="432">
        <v>2030</v>
      </c>
      <c r="O5" s="432">
        <v>2031</v>
      </c>
      <c r="P5" s="432">
        <v>2032</v>
      </c>
      <c r="Q5" s="432">
        <v>2033</v>
      </c>
      <c r="R5" s="432">
        <v>2034</v>
      </c>
      <c r="S5" s="432">
        <v>2035</v>
      </c>
      <c r="T5" s="432">
        <v>2036</v>
      </c>
      <c r="U5" s="432">
        <v>2037</v>
      </c>
      <c r="V5" s="432">
        <v>2038</v>
      </c>
      <c r="W5" s="432">
        <v>2039</v>
      </c>
      <c r="X5" s="432">
        <v>2040</v>
      </c>
      <c r="Y5" s="432">
        <v>2041</v>
      </c>
      <c r="Z5" s="432">
        <v>2042</v>
      </c>
      <c r="AA5" s="432">
        <v>2043</v>
      </c>
    </row>
    <row r="6" spans="1:27">
      <c r="A6" s="29"/>
      <c r="B6"/>
      <c r="C6" s="117"/>
      <c r="E6" s="250" t="s">
        <v>328</v>
      </c>
      <c r="F6" s="428">
        <f ca="1">-'Master Tab'!$F$6</f>
        <v>-1727883.0761538462</v>
      </c>
      <c r="G6" s="428"/>
      <c r="H6" s="428"/>
      <c r="I6" s="428"/>
      <c r="J6" s="428"/>
      <c r="K6" s="428"/>
      <c r="L6" s="428"/>
      <c r="M6" s="428"/>
      <c r="N6" s="428"/>
      <c r="O6" s="428"/>
      <c r="P6" s="428"/>
      <c r="Q6" s="428"/>
      <c r="R6" s="428"/>
      <c r="S6" s="428"/>
      <c r="T6" s="428"/>
      <c r="U6" s="428"/>
      <c r="V6" s="428"/>
      <c r="W6" s="428"/>
      <c r="X6" s="428"/>
      <c r="Y6" s="428"/>
      <c r="Z6" s="428"/>
      <c r="AA6" s="428"/>
    </row>
    <row r="7" spans="1:27">
      <c r="A7" s="256" t="s">
        <v>223</v>
      </c>
      <c r="B7" s="295"/>
      <c r="C7" s="117"/>
      <c r="E7" s="250" t="s">
        <v>327</v>
      </c>
      <c r="F7" s="429"/>
      <c r="G7" s="428">
        <f ca="1">IF(G$4&lt;=$C$20,'Master Tab'!$I$21*(1+INDEX('Growth Rate Predictions'!$C$47:$X$52,MATCH($A$23,'Growth Rate Predictions'!$C$47:$C$52,0),MATCH(G$5,'Growth Rate Predictions'!$C$47:$X$47,0))),0)</f>
        <v>312652.80147763493</v>
      </c>
      <c r="H7" s="428">
        <f ca="1">IF(H$4&lt;=$C$20,G7*(1+INDEX('Growth Rate Predictions'!$C$47:$X$52,MATCH($A$23,'Growth Rate Predictions'!$C$47:$C$52,0),MATCH(H$5,'Growth Rate Predictions'!$C$47:$X$47,0))),0)</f>
        <v>322345.03832344158</v>
      </c>
      <c r="I7" s="428">
        <f ca="1">IF(I$4&lt;=$C$20,H7*(1+INDEX('Growth Rate Predictions'!$C$47:$X$52,MATCH($A$23,'Growth Rate Predictions'!$C$47:$C$52,0),MATCH(I$5,'Growth Rate Predictions'!$C$47:$X$47,0))),0)</f>
        <v>331370.69939649798</v>
      </c>
      <c r="J7" s="428">
        <f ca="1">IF(J$4&lt;=$C$20,I7*(1+INDEX('Growth Rate Predictions'!$C$47:$X$52,MATCH($A$23,'Growth Rate Predictions'!$C$47:$C$52,0),MATCH(J$5,'Growth Rate Predictions'!$C$47:$X$47,0))),0)</f>
        <v>339654.96688141039</v>
      </c>
      <c r="K7" s="428">
        <f ca="1">IF(K$4&lt;=$C$20,J7*(1+INDEX('Growth Rate Predictions'!$C$47:$X$52,MATCH($A$23,'Growth Rate Predictions'!$C$47:$C$52,0),MATCH(K$5,'Growth Rate Predictions'!$C$47:$X$47,0))),0)</f>
        <v>346448.06621903862</v>
      </c>
      <c r="L7" s="428">
        <f ca="1">IF(L$4&lt;=$C$20,K7*(1+INDEX('Growth Rate Predictions'!$C$47:$X$52,MATCH($A$23,'Growth Rate Predictions'!$C$47:$C$52,0),MATCH(L$5,'Growth Rate Predictions'!$C$47:$X$47,0))),0)</f>
        <v>353377.02754341939</v>
      </c>
      <c r="M7" s="428">
        <f ca="1">IF(M$4&lt;=$C$20,L7*(1+INDEX('Growth Rate Predictions'!$C$47:$X$52,MATCH($A$23,'Growth Rate Predictions'!$C$47:$C$52,0),MATCH(M$5,'Growth Rate Predictions'!$C$47:$X$47,0))),0)</f>
        <v>360444.56809428777</v>
      </c>
      <c r="N7" s="428">
        <f ca="1">IF(N$4&lt;=$C$20,M7*(1+INDEX('Growth Rate Predictions'!$C$47:$X$52,MATCH($A$23,'Growth Rate Predictions'!$C$47:$C$52,0),MATCH(N$5,'Growth Rate Predictions'!$C$47:$X$47,0))),0)</f>
        <v>367653.45945617353</v>
      </c>
      <c r="O7" s="428">
        <f ca="1">IF(O$4&lt;=$C$20,N7*(1+INDEX('Growth Rate Predictions'!$C$47:$X$52,MATCH($A$23,'Growth Rate Predictions'!$C$47:$C$52,0),MATCH(O$5,'Growth Rate Predictions'!$C$47:$X$47,0))),0)</f>
        <v>375006.52864529699</v>
      </c>
      <c r="P7" s="428">
        <f ca="1">IF(P$4&lt;=$C$20,O7*(1+INDEX('Growth Rate Predictions'!$C$47:$X$52,MATCH($A$23,'Growth Rate Predictions'!$C$47:$C$52,0),MATCH(P$5,'Growth Rate Predictions'!$C$47:$X$47,0))),0)</f>
        <v>382506.65921820293</v>
      </c>
      <c r="Q7" s="428">
        <f ca="1">IF(Q$4&lt;=$C$20,P7*(1+INDEX('Growth Rate Predictions'!$C$47:$X$52,MATCH($A$23,'Growth Rate Predictions'!$C$47:$C$52,0),MATCH(Q$5,'Growth Rate Predictions'!$C$47:$X$47,0))),0)</f>
        <v>390156.79240256699</v>
      </c>
      <c r="R7" s="428">
        <f ca="1">IF(R$4&lt;=$C$20,Q7*(1+INDEX('Growth Rate Predictions'!$C$47:$X$52,MATCH($A$23,'Growth Rate Predictions'!$C$47:$C$52,0),MATCH(R$5,'Growth Rate Predictions'!$C$47:$X$47,0))),0)</f>
        <v>397959.92825061834</v>
      </c>
      <c r="S7" s="428">
        <f ca="1">IF(S$4&lt;=$C$20,R7*(1+INDEX('Growth Rate Predictions'!$C$47:$X$52,MATCH($A$23,'Growth Rate Predictions'!$C$47:$C$52,0),MATCH(S$5,'Growth Rate Predictions'!$C$47:$X$47,0))),0)</f>
        <v>405919.12681563071</v>
      </c>
      <c r="T7" s="428">
        <f ca="1">IF(T$4&lt;=$C$20,S7*(1+INDEX('Growth Rate Predictions'!$C$47:$X$52,MATCH($A$23,'Growth Rate Predictions'!$C$47:$C$52,0),MATCH(T$5,'Growth Rate Predictions'!$C$47:$X$47,0))),0)</f>
        <v>414037.50935194333</v>
      </c>
      <c r="U7" s="428">
        <f ca="1">IF(U$4&lt;=$C$20,T7*(1+INDEX('Growth Rate Predictions'!$C$47:$X$52,MATCH($A$23,'Growth Rate Predictions'!$C$47:$C$52,0),MATCH(U$5,'Growth Rate Predictions'!$C$47:$X$47,0))),0)</f>
        <v>422318.25953898218</v>
      </c>
      <c r="V7" s="428">
        <f>IF(V$4&lt;=$C$20,U7*(1+INDEX('Growth Rate Predictions'!$C$47:$X$52,MATCH($A$23,'Growth Rate Predictions'!$C$47:$C$52,0),MATCH(V$5,'Growth Rate Predictions'!$C$47:$X$47,0))),0)</f>
        <v>0</v>
      </c>
      <c r="W7" s="428">
        <f>IF(W$4&lt;=$C$20,V7*(1+INDEX('Growth Rate Predictions'!$C$47:$X$52,MATCH($A$23,'Growth Rate Predictions'!$C$47:$C$52,0),MATCH(W$5,'Growth Rate Predictions'!$C$47:$X$47,0))),0)</f>
        <v>0</v>
      </c>
      <c r="X7" s="428">
        <f>IF(X$4&lt;=$C$20,W7*(1+INDEX('Growth Rate Predictions'!$C$47:$X$52,MATCH($A$23,'Growth Rate Predictions'!$C$47:$C$52,0),MATCH(X$5,'Growth Rate Predictions'!$C$47:$X$47,0))),0)</f>
        <v>0</v>
      </c>
      <c r="Y7" s="428">
        <f>IF(Y$4&lt;=$C$20,X7*(1+INDEX('Growth Rate Predictions'!$C$47:$X$52,MATCH($A$23,'Growth Rate Predictions'!$C$47:$C$52,0),MATCH(Y$5,'Growth Rate Predictions'!$C$47:$X$47,0))),0)</f>
        <v>0</v>
      </c>
      <c r="Z7" s="428">
        <f>IF(Z$4&lt;=$C$20,Y7*(1+INDEX('Growth Rate Predictions'!$C$47:$X$52,MATCH($A$23,'Growth Rate Predictions'!$C$47:$C$52,0),MATCH(Z$5,'Growth Rate Predictions'!$C$47:$X$47,0))),0)</f>
        <v>0</v>
      </c>
      <c r="AA7" s="428">
        <f>IF(AA$4&lt;=$C$20,Z7*(1+INDEX('Growth Rate Predictions'!$C$47:$X$52,MATCH($A$23,'Growth Rate Predictions'!$C$47:$C$52,0),MATCH(AA$5,'Growth Rate Predictions'!$C$47:$X$47,0))),0)</f>
        <v>0</v>
      </c>
    </row>
    <row r="8" spans="1:27">
      <c r="A8" s="256" t="s">
        <v>673</v>
      </c>
      <c r="B8"/>
      <c r="C8" s="64">
        <f>INDEX(Assumptions!$A$6:$D$54,MATCH(A8,Assumptions!$A$6:$A$54,0),MATCH($C$12,Assumptions!$A$6:$D$6,0))</f>
        <v>0</v>
      </c>
      <c r="E8" s="237" t="s">
        <v>640</v>
      </c>
      <c r="F8" s="429"/>
      <c r="G8" s="428">
        <f ca="1">IF(G$4&lt;=$C$20,-'Master Tab'!$F$11*(1+INDEX('Growth Rate Predictions'!$C$47:$X$52,MATCH($A$23,'Growth Rate Predictions'!$C$47:$C$52,0),MATCH(G$5,'Growth Rate Predictions'!$C$47:$X$47,0))),0)</f>
        <v>270760.44710618764</v>
      </c>
      <c r="H8" s="428">
        <f ca="1">IF(H$4&lt;=$C$20,G8*(1+INDEX('Growth Rate Predictions'!$C$47:$X$52,MATCH($A$23,'Growth Rate Predictions'!$C$47:$C$52,0),MATCH(H$5,'Growth Rate Predictions'!$C$47:$X$47,0))),0)</f>
        <v>279154.02096647944</v>
      </c>
      <c r="I8" s="428">
        <f ca="1">IF(I$4&lt;=$C$20,H8*(1+INDEX('Growth Rate Predictions'!$C$47:$X$52,MATCH($A$23,'Growth Rate Predictions'!$C$47:$C$52,0),MATCH(I$5,'Growth Rate Predictions'!$C$47:$X$47,0))),0)</f>
        <v>286970.33355354087</v>
      </c>
      <c r="J8" s="428">
        <f ca="1">IF(J$4&lt;=$C$20,I8*(1+INDEX('Growth Rate Predictions'!$C$47:$X$52,MATCH($A$23,'Growth Rate Predictions'!$C$47:$C$52,0),MATCH(J$5,'Growth Rate Predictions'!$C$47:$X$47,0))),0)</f>
        <v>294144.59189237939</v>
      </c>
      <c r="K8" s="428">
        <f ca="1">IF(K$4&lt;=$C$20,J8*(1+INDEX('Growth Rate Predictions'!$C$47:$X$52,MATCH($A$23,'Growth Rate Predictions'!$C$47:$C$52,0),MATCH(K$5,'Growth Rate Predictions'!$C$47:$X$47,0))),0)</f>
        <v>300027.48373022699</v>
      </c>
      <c r="L8" s="428">
        <f ca="1">IF(L$4&lt;=$C$20,K8*(1+INDEX('Growth Rate Predictions'!$C$47:$X$52,MATCH($A$23,'Growth Rate Predictions'!$C$47:$C$52,0),MATCH(L$5,'Growth Rate Predictions'!$C$47:$X$47,0))),0)</f>
        <v>306028.03340483154</v>
      </c>
      <c r="M8" s="428">
        <f ca="1">IF(M$4&lt;=$C$20,L8*(1+INDEX('Growth Rate Predictions'!$C$47:$X$52,MATCH($A$23,'Growth Rate Predictions'!$C$47:$C$52,0),MATCH(M$5,'Growth Rate Predictions'!$C$47:$X$47,0))),0)</f>
        <v>312148.59407292819</v>
      </c>
      <c r="N8" s="428">
        <f ca="1">IF(N$4&lt;=$C$20,M8*(1+INDEX('Growth Rate Predictions'!$C$47:$X$52,MATCH($A$23,'Growth Rate Predictions'!$C$47:$C$52,0),MATCH(N$5,'Growth Rate Predictions'!$C$47:$X$47,0))),0)</f>
        <v>318391.56595438678</v>
      </c>
      <c r="O8" s="428">
        <f ca="1">IF(O$4&lt;=$C$20,N8*(1+INDEX('Growth Rate Predictions'!$C$47:$X$52,MATCH($A$23,'Growth Rate Predictions'!$C$47:$C$52,0),MATCH(O$5,'Growth Rate Predictions'!$C$47:$X$47,0))),0)</f>
        <v>324759.39727347455</v>
      </c>
      <c r="P8" s="428">
        <f ca="1">IF(P$4&lt;=$C$20,O8*(1+INDEX('Growth Rate Predictions'!$C$47:$X$52,MATCH($A$23,'Growth Rate Predictions'!$C$47:$C$52,0),MATCH(P$5,'Growth Rate Predictions'!$C$47:$X$47,0))),0)</f>
        <v>331254.58521894406</v>
      </c>
      <c r="Q8" s="428">
        <f ca="1">IF(Q$4&lt;=$C$20,P8*(1+INDEX('Growth Rate Predictions'!$C$47:$X$52,MATCH($A$23,'Growth Rate Predictions'!$C$47:$C$52,0),MATCH(Q$5,'Growth Rate Predictions'!$C$47:$X$47,0))),0)</f>
        <v>337879.67692332296</v>
      </c>
      <c r="R8" s="428">
        <f ca="1">IF(R$4&lt;=$C$20,Q8*(1+INDEX('Growth Rate Predictions'!$C$47:$X$52,MATCH($A$23,'Growth Rate Predictions'!$C$47:$C$52,0),MATCH(R$5,'Growth Rate Predictions'!$C$47:$X$47,0))),0)</f>
        <v>344637.27046178945</v>
      </c>
      <c r="S8" s="428">
        <f ca="1">IF(S$4&lt;=$C$20,R8*(1+INDEX('Growth Rate Predictions'!$C$47:$X$52,MATCH($A$23,'Growth Rate Predictions'!$C$47:$C$52,0),MATCH(S$5,'Growth Rate Predictions'!$C$47:$X$47,0))),0)</f>
        <v>351530.01587102527</v>
      </c>
      <c r="T8" s="428">
        <f ca="1">IF(T$4&lt;=$C$20,S8*(1+INDEX('Growth Rate Predictions'!$C$47:$X$52,MATCH($A$23,'Growth Rate Predictions'!$C$47:$C$52,0),MATCH(T$5,'Growth Rate Predictions'!$C$47:$X$47,0))),0)</f>
        <v>358560.61618844577</v>
      </c>
      <c r="U8" s="428">
        <f ca="1">IF(U$4&lt;=$C$20,T8*(1+INDEX('Growth Rate Predictions'!$C$47:$X$52,MATCH($A$23,'Growth Rate Predictions'!$C$47:$C$52,0),MATCH(U$5,'Growth Rate Predictions'!$C$47:$X$47,0))),0)</f>
        <v>365731.82851221471</v>
      </c>
      <c r="V8" s="428">
        <f>IF(V$4&lt;=$C$20,U8*(1+INDEX('Growth Rate Predictions'!$C$47:$X$52,MATCH($A$23,'Growth Rate Predictions'!$C$47:$C$52,0),MATCH(V$5,'Growth Rate Predictions'!$C$47:$X$47,0))),0)</f>
        <v>0</v>
      </c>
      <c r="W8" s="428">
        <f>IF(W$4&lt;=$C$20,V8*(1+INDEX('Growth Rate Predictions'!$C$47:$X$52,MATCH($A$23,'Growth Rate Predictions'!$C$47:$C$52,0),MATCH(W$5,'Growth Rate Predictions'!$C$47:$X$47,0))),0)</f>
        <v>0</v>
      </c>
      <c r="X8" s="428">
        <f>IF(X$4&lt;=$C$20,W8*(1+INDEX('Growth Rate Predictions'!$C$47:$X$52,MATCH($A$23,'Growth Rate Predictions'!$C$47:$C$52,0),MATCH(X$5,'Growth Rate Predictions'!$C$47:$X$47,0))),0)</f>
        <v>0</v>
      </c>
      <c r="Y8" s="428">
        <f>IF(Y$4&lt;=$C$20,X8*(1+INDEX('Growth Rate Predictions'!$C$47:$X$52,MATCH($A$23,'Growth Rate Predictions'!$C$47:$C$52,0),MATCH(Y$5,'Growth Rate Predictions'!$C$47:$X$47,0))),0)</f>
        <v>0</v>
      </c>
      <c r="Z8" s="428">
        <f>IF(Z$4&lt;=$C$20,Y8*(1+INDEX('Growth Rate Predictions'!$C$47:$X$52,MATCH($A$23,'Growth Rate Predictions'!$C$47:$C$52,0),MATCH(Z$5,'Growth Rate Predictions'!$C$47:$X$47,0))),0)</f>
        <v>0</v>
      </c>
      <c r="AA8" s="428">
        <f>IF(AA$4&lt;=$C$20,Z8*(1+INDEX('Growth Rate Predictions'!$C$47:$X$52,MATCH($A$23,'Growth Rate Predictions'!$C$47:$C$52,0),MATCH(AA$5,'Growth Rate Predictions'!$C$47:$X$47,0))),0)</f>
        <v>0</v>
      </c>
    </row>
    <row r="9" spans="1:27">
      <c r="A9" s="256" t="s">
        <v>672</v>
      </c>
      <c r="B9"/>
      <c r="C9" s="64">
        <v>68</v>
      </c>
      <c r="E9" s="237" t="s">
        <v>755</v>
      </c>
      <c r="F9" s="429"/>
      <c r="G9" s="428">
        <f>IF(G$4&lt;=$C$20,-'Cost of Ownership Calculation'!I34*(1+INDEX('Growth Rate Predictions'!$C$47:$X$52,MATCH($A$27,'Growth Rate Predictions'!$C$47:$C$52,0),MATCH(G$5,'Growth Rate Predictions'!$C$47:$X$47,0))),0)</f>
        <v>-114743.19999999998</v>
      </c>
      <c r="H9" s="428">
        <f>IF(H$4&lt;=$C$20,-'Cost of Ownership Calculation'!$I$36*(1+INDEX('Growth Rate Predictions'!$C$47:$X$52,MATCH($A$27,'Growth Rate Predictions'!$C$47:$C$52,0),MATCH(H$5,'Growth Rate Predictions'!$C$47:$X$47,0)))^H$4,0)</f>
        <v>-120426.1344</v>
      </c>
      <c r="I9" s="428">
        <f>IF(I$4&lt;=$C$20,H9*(1+INDEX('Growth Rate Predictions'!$C$47:$X$52,MATCH($A$27,'Growth Rate Predictions'!$C$47:$C$52,0),MATCH(I$5,'Growth Rate Predictions'!$C$47:$X$47,0))),0)</f>
        <v>-123195.93549119998</v>
      </c>
      <c r="J9" s="428">
        <f>IF(J$4&lt;=$C$20,I9*(1+INDEX('Growth Rate Predictions'!$C$47:$X$52,MATCH($A$27,'Growth Rate Predictions'!$C$47:$C$52,0),MATCH(J$5,'Growth Rate Predictions'!$C$47:$X$47,0))),0)</f>
        <v>-125659.85420102399</v>
      </c>
      <c r="K9" s="428">
        <f>IF(K$4&lt;=$C$20,J9*(1+INDEX('Growth Rate Predictions'!$C$47:$X$52,MATCH($A$27,'Growth Rate Predictions'!$C$47:$C$52,0),MATCH(K$5,'Growth Rate Predictions'!$C$47:$X$47,0))),0)</f>
        <v>-128173.05128504448</v>
      </c>
      <c r="L9" s="428">
        <f>IF(L$4&lt;=$C$20,K9*(1+INDEX('Growth Rate Predictions'!$C$47:$X$52,MATCH($A$27,'Growth Rate Predictions'!$C$47:$C$52,0),MATCH(L$5,'Growth Rate Predictions'!$C$47:$X$47,0))),0)</f>
        <v>-130736.51231074537</v>
      </c>
      <c r="M9" s="428">
        <f>IF(M$4&lt;=$C$20,L9*(1+INDEX('Growth Rate Predictions'!$C$47:$X$52,MATCH($A$27,'Growth Rate Predictions'!$C$47:$C$52,0),MATCH(M$5,'Growth Rate Predictions'!$C$47:$X$47,0))),0)</f>
        <v>-133351.24255696029</v>
      </c>
      <c r="N9" s="428">
        <f>IF(N$4&lt;=$C$20,M9*(1+INDEX('Growth Rate Predictions'!$C$47:$X$52,MATCH($A$27,'Growth Rate Predictions'!$C$47:$C$52,0),MATCH(N$5,'Growth Rate Predictions'!$C$47:$X$47,0))),0)</f>
        <v>-136018.26740809949</v>
      </c>
      <c r="O9" s="428">
        <f>IF(O$4&lt;=$C$20,N9*(1+INDEX('Growth Rate Predictions'!$C$47:$X$52,MATCH($A$27,'Growth Rate Predictions'!$C$47:$C$52,0),MATCH(O$5,'Growth Rate Predictions'!$C$47:$X$47,0))),0)</f>
        <v>-138738.63275626148</v>
      </c>
      <c r="P9" s="428">
        <f>IF(P$4&lt;=$C$20,O9*(1+INDEX('Growth Rate Predictions'!$C$47:$X$52,MATCH($A$27,'Growth Rate Predictions'!$C$47:$C$52,0),MATCH(P$5,'Growth Rate Predictions'!$C$47:$X$47,0))),0)</f>
        <v>-141513.40541138672</v>
      </c>
      <c r="Q9" s="428">
        <f>IF(Q$4&lt;=$C$20,P9*(1+INDEX('Growth Rate Predictions'!$C$47:$X$52,MATCH($A$27,'Growth Rate Predictions'!$C$47:$C$52,0),MATCH(Q$5,'Growth Rate Predictions'!$C$47:$X$47,0))),0)</f>
        <v>-144343.67351961444</v>
      </c>
      <c r="R9" s="428">
        <f>IF(R$4&lt;=$C$20,Q9*(1+INDEX('Growth Rate Predictions'!$C$47:$X$52,MATCH($A$27,'Growth Rate Predictions'!$C$47:$C$52,0),MATCH(R$5,'Growth Rate Predictions'!$C$47:$X$47,0))),0)</f>
        <v>-147230.54699000673</v>
      </c>
      <c r="S9" s="428">
        <f>IF(S$4&lt;=$C$20,R9*(1+INDEX('Growth Rate Predictions'!$C$47:$X$52,MATCH($A$27,'Growth Rate Predictions'!$C$47:$C$52,0),MATCH(S$5,'Growth Rate Predictions'!$C$47:$X$47,0))),0)</f>
        <v>-150175.15792980685</v>
      </c>
      <c r="T9" s="428">
        <f>IF(T$4&lt;=$C$20,S9*(1+INDEX('Growth Rate Predictions'!$C$47:$X$52,MATCH($A$27,'Growth Rate Predictions'!$C$47:$C$52,0),MATCH(T$5,'Growth Rate Predictions'!$C$47:$X$47,0))),0)</f>
        <v>-153178.66108840299</v>
      </c>
      <c r="U9" s="428">
        <f>IF(U$4&lt;=$C$20,T9*(1+INDEX('Growth Rate Predictions'!$C$47:$X$52,MATCH($A$27,'Growth Rate Predictions'!$C$47:$C$52,0),MATCH(U$5,'Growth Rate Predictions'!$C$47:$X$47,0))),0)</f>
        <v>-156242.23431017104</v>
      </c>
      <c r="V9" s="428">
        <f>IF(V$4&lt;=$C$20,U9*(1+INDEX('Growth Rate Predictions'!$C$47:$X$52,MATCH($A$27,'Growth Rate Predictions'!$C$47:$C$52,0),MATCH(V$5,'Growth Rate Predictions'!$C$47:$X$47,0))),0)</f>
        <v>0</v>
      </c>
      <c r="W9" s="428">
        <f>IF(W$4&lt;=$C$20,V9*(1+INDEX('Growth Rate Predictions'!$C$47:$X$52,MATCH($A$27,'Growth Rate Predictions'!$C$47:$C$52,0),MATCH(W$5,'Growth Rate Predictions'!$C$47:$X$47,0))),0)</f>
        <v>0</v>
      </c>
      <c r="X9" s="428">
        <f>IF(X$4&lt;=$C$20,W9*(1+INDEX('Growth Rate Predictions'!$C$47:$X$52,MATCH($A$27,'Growth Rate Predictions'!$C$47:$C$52,0),MATCH(X$5,'Growth Rate Predictions'!$C$47:$X$47,0))),0)</f>
        <v>0</v>
      </c>
      <c r="Y9" s="428">
        <f>IF(Y$4&lt;=$C$20,X9*(1+INDEX('Growth Rate Predictions'!$C$47:$X$52,MATCH($A$27,'Growth Rate Predictions'!$C$47:$C$52,0),MATCH(Y$5,'Growth Rate Predictions'!$C$47:$X$47,0))),0)</f>
        <v>0</v>
      </c>
      <c r="Z9" s="428">
        <f>IF(Z$4&lt;=$C$20,Y9*(1+INDEX('Growth Rate Predictions'!$C$47:$X$52,MATCH($A$27,'Growth Rate Predictions'!$C$47:$C$52,0),MATCH(Z$5,'Growth Rate Predictions'!$C$47:$X$47,0))),0)</f>
        <v>0</v>
      </c>
      <c r="AA9" s="428">
        <f>IF(AA$4&lt;=$C$20,Z9*(1+INDEX('Growth Rate Predictions'!$C$47:$X$52,MATCH($A$27,'Growth Rate Predictions'!$C$47:$C$52,0),MATCH(AA$5,'Growth Rate Predictions'!$C$47:$X$47,0))),0)</f>
        <v>0</v>
      </c>
    </row>
    <row r="10" spans="1:27">
      <c r="A10" s="397"/>
      <c r="B10"/>
      <c r="C10" s="64"/>
      <c r="E10" s="237" t="s">
        <v>791</v>
      </c>
      <c r="F10" s="429"/>
      <c r="G10" s="428">
        <f ca="1">IF(G$4&lt;=$C$20,-'Master Tab'!$F$7*(1+INDEX('Growth Rate Predictions'!$C$47:$X$52,MATCH($A$26,'Growth Rate Predictions'!$C$47:$C$52,0),MATCH(G$5,'Growth Rate Predictions'!$C$47:$X$47,0))),0)</f>
        <v>-6545.9036558547214</v>
      </c>
      <c r="H10" s="428">
        <f ca="1">IF(H$4&lt;=$C$20,G10*(1+INDEX('Growth Rate Predictions'!$C$47:$X$52,MATCH($A$26,'Growth Rate Predictions'!$C$47:$C$52,0),MATCH(H$5,'Growth Rate Predictions'!$C$47:$X$47,0))),0)</f>
        <v>-6026.901706029762</v>
      </c>
      <c r="I10" s="428">
        <f ca="1">IF(I$4&lt;=$C$20,H10*(1+INDEX('Growth Rate Predictions'!$C$47:$X$52,MATCH($A$26,'Growth Rate Predictions'!$C$47:$C$52,0),MATCH(I$5,'Growth Rate Predictions'!$C$47:$X$47,0))),0)</f>
        <v>-5717.7952131561187</v>
      </c>
      <c r="J10" s="428">
        <f ca="1">IF(J$4&lt;=$C$20,I10*(1+INDEX('Growth Rate Predictions'!$C$47:$X$52,MATCH($A$26,'Growth Rate Predictions'!$C$47:$C$52,0),MATCH(J$5,'Growth Rate Predictions'!$C$47:$X$47,0))),0)</f>
        <v>-5831.1792542102057</v>
      </c>
      <c r="K10" s="428">
        <f ca="1">IF(K$4&lt;=$C$20,J10*(1+INDEX('Growth Rate Predictions'!$C$47:$X$52,MATCH($A$26,'Growth Rate Predictions'!$C$47:$C$52,0),MATCH(K$5,'Growth Rate Predictions'!$C$47:$X$47,0))),0)</f>
        <v>-5974.9340205466387</v>
      </c>
      <c r="L10" s="428">
        <f ca="1">IF(L$4&lt;=$C$20,K10*(1+INDEX('Growth Rate Predictions'!$C$47:$X$52,MATCH($A$26,'Growth Rate Predictions'!$C$47:$C$52,0),MATCH(L$5,'Growth Rate Predictions'!$C$47:$X$47,0))),0)</f>
        <v>-6072.795246456416</v>
      </c>
      <c r="M10" s="428">
        <f ca="1">IF(M$4&lt;=$C$20,L10*(1+INDEX('Growth Rate Predictions'!$C$47:$X$52,MATCH($A$26,'Growth Rate Predictions'!$C$47:$C$52,0),MATCH(M$5,'Growth Rate Predictions'!$C$47:$X$47,0))),0)</f>
        <v>-6194.2511513855443</v>
      </c>
      <c r="N10" s="428">
        <f ca="1">IF(N$4&lt;=$C$20,M10*(1+INDEX('Growth Rate Predictions'!$C$47:$X$52,MATCH($A$26,'Growth Rate Predictions'!$C$47:$C$52,0),MATCH(N$5,'Growth Rate Predictions'!$C$47:$X$47,0))),0)</f>
        <v>-6318.1361744132555</v>
      </c>
      <c r="O10" s="428">
        <f ca="1">IF(O$4&lt;=$C$20,N10*(1+INDEX('Growth Rate Predictions'!$C$47:$X$52,MATCH($A$26,'Growth Rate Predictions'!$C$47:$C$52,0),MATCH(O$5,'Growth Rate Predictions'!$C$47:$X$47,0))),0)</f>
        <v>-6444.4988979015206</v>
      </c>
      <c r="P10" s="428">
        <f ca="1">IF(P$4&lt;=$C$20,O10*(1+INDEX('Growth Rate Predictions'!$C$47:$X$52,MATCH($A$26,'Growth Rate Predictions'!$C$47:$C$52,0),MATCH(P$5,'Growth Rate Predictions'!$C$47:$X$47,0))),0)</f>
        <v>-6573.3888758595513</v>
      </c>
      <c r="Q10" s="428">
        <f ca="1">IF(Q$4&lt;=$C$20,P10*(1+INDEX('Growth Rate Predictions'!$C$47:$X$52,MATCH($A$26,'Growth Rate Predictions'!$C$47:$C$52,0),MATCH(Q$5,'Growth Rate Predictions'!$C$47:$X$47,0))),0)</f>
        <v>-6704.8566533767425</v>
      </c>
      <c r="R10" s="428">
        <f ca="1">IF(R$4&lt;=$C$20,Q10*(1+INDEX('Growth Rate Predictions'!$C$47:$X$52,MATCH($A$26,'Growth Rate Predictions'!$C$47:$C$52,0),MATCH(R$5,'Growth Rate Predictions'!$C$47:$X$47,0))),0)</f>
        <v>-6838.9537864442773</v>
      </c>
      <c r="S10" s="428">
        <f ca="1">IF(S$4&lt;=$C$20,R10*(1+INDEX('Growth Rate Predictions'!$C$47:$X$52,MATCH($A$26,'Growth Rate Predictions'!$C$47:$C$52,0),MATCH(S$5,'Growth Rate Predictions'!$C$47:$X$47,0))),0)</f>
        <v>-6975.7328621731631</v>
      </c>
      <c r="T10" s="428">
        <f ca="1">IF(T$4&lt;=$C$20,S10*(1+INDEX('Growth Rate Predictions'!$C$47:$X$52,MATCH($A$26,'Growth Rate Predictions'!$C$47:$C$52,0),MATCH(T$5,'Growth Rate Predictions'!$C$47:$X$47,0))),0)</f>
        <v>-7115.2475194166263</v>
      </c>
      <c r="U10" s="428">
        <f ca="1">IF(U$4&lt;=$C$20,T10*(1+INDEX('Growth Rate Predictions'!$C$47:$X$52,MATCH($A$26,'Growth Rate Predictions'!$C$47:$C$52,0),MATCH(U$5,'Growth Rate Predictions'!$C$47:$X$47,0))),0)</f>
        <v>-7257.5524698049594</v>
      </c>
      <c r="V10" s="428">
        <f>IF(V$4&lt;=$C$20,U10*(1+INDEX('Growth Rate Predictions'!$C$47:$X$52,MATCH($A$26,'Growth Rate Predictions'!$C$47:$C$52,0),MATCH(V$5,'Growth Rate Predictions'!$C$47:$X$47,0))),0)</f>
        <v>0</v>
      </c>
      <c r="W10" s="428">
        <f>IF(W$4&lt;=$C$20,V10*(1+INDEX('Growth Rate Predictions'!$C$47:$X$52,MATCH($A$26,'Growth Rate Predictions'!$C$47:$C$52,0),MATCH(W$5,'Growth Rate Predictions'!$C$47:$X$47,0))),0)</f>
        <v>0</v>
      </c>
      <c r="X10" s="428">
        <f>IF(X$4&lt;=$C$20,W10*(1+INDEX('Growth Rate Predictions'!$C$47:$X$52,MATCH($A$26,'Growth Rate Predictions'!$C$47:$C$52,0),MATCH(X$5,'Growth Rate Predictions'!$C$47:$X$47,0))),0)</f>
        <v>0</v>
      </c>
      <c r="Y10" s="428">
        <f>IF(Y$4&lt;=$C$20,X10*(1+INDEX('Growth Rate Predictions'!$C$47:$X$52,MATCH($A$26,'Growth Rate Predictions'!$C$47:$C$52,0),MATCH(Y$5,'Growth Rate Predictions'!$C$47:$X$47,0))),0)</f>
        <v>0</v>
      </c>
      <c r="Z10" s="428">
        <f>IF(Z$4&lt;=$C$20,Y10*(1+INDEX('Growth Rate Predictions'!$C$47:$X$52,MATCH($A$26,'Growth Rate Predictions'!$C$47:$C$52,0),MATCH(Z$5,'Growth Rate Predictions'!$C$47:$X$47,0))),0)</f>
        <v>0</v>
      </c>
      <c r="AA10" s="428">
        <f>IF(AA$4&lt;=$C$20,Z10*(1+INDEX('Growth Rate Predictions'!$C$47:$X$52,MATCH($A$26,'Growth Rate Predictions'!$C$47:$C$52,0),MATCH(AA$5,'Growth Rate Predictions'!$C$47:$X$47,0))),0)</f>
        <v>0</v>
      </c>
    </row>
    <row r="11" spans="1:27" ht="15.75" thickBot="1">
      <c r="A11" s="46" t="s">
        <v>353</v>
      </c>
      <c r="B11" s="32"/>
      <c r="C11" s="32"/>
      <c r="E11" s="237" t="s">
        <v>790</v>
      </c>
      <c r="F11" s="429"/>
      <c r="G11" s="428">
        <f ca="1">IF(G$4&lt;=$C$20,IF(MOD(G$4,Maintenance!$B$60)=0,-Maintenance!$H$38,0)*(1+$C$27)^G$4,0)</f>
        <v>0</v>
      </c>
      <c r="H11" s="428">
        <f ca="1">IF(H$4&lt;=$C$20,IF(MOD(H$4,Maintenance!$B$60)=0,-Maintenance!$H$38,0)*(1+$C$27)^H$4,0)</f>
        <v>0</v>
      </c>
      <c r="I11" s="428">
        <f ca="1">IF(I$4&lt;=$C$20,IF(MOD(I$4,Maintenance!$B$60)=0,-Maintenance!$H$38,0)*(1+$C$27)^I$4,0)</f>
        <v>0</v>
      </c>
      <c r="J11" s="428">
        <f ca="1">IF(J$4&lt;=$C$20,IF(MOD(J$4,Maintenance!$B$60)=0,-Maintenance!$H$38,0)*(1+$C$27)^J$4,0)</f>
        <v>0</v>
      </c>
      <c r="K11" s="428">
        <f ca="1">IF(K$4&lt;=$C$20,IF(MOD(K$4,Maintenance!$B$60)=0,-Maintenance!$H$38,0)*(1+$C$27)^K$4,0)</f>
        <v>0</v>
      </c>
      <c r="L11" s="428">
        <f ca="1">IF(L$4&lt;=$C$20,IF(MOD(L$4,Maintenance!$B$60)=0,-Maintenance!$H$38,0)*(1+$C$27)^L$4,0)</f>
        <v>0</v>
      </c>
      <c r="M11" s="428">
        <f ca="1">IF(M$4&lt;=$C$20,IF(MOD(M$4,Maintenance!$B$60)=0,-Maintenance!$H$38,0)*(1+$C$27)^M$4,0)</f>
        <v>-177552.6289741502</v>
      </c>
      <c r="N11" s="428">
        <f ca="1">IF(N$4&lt;=$C$20,IF(MOD(N$4,Maintenance!$B$60)=0,-Maintenance!$H$38,0)*(1+$C$27)^N$4,0)</f>
        <v>0</v>
      </c>
      <c r="O11" s="428">
        <f ca="1">IF(O$4&lt;=$C$20,IF(MOD(O$4,Maintenance!$B$60)=0,-Maintenance!$H$38,0)*(1+$C$27)^O$4,0)</f>
        <v>0</v>
      </c>
      <c r="P11" s="428">
        <f ca="1">IF(P$4&lt;=$C$20,IF(MOD(P$4,Maintenance!$B$60)=0,-Maintenance!$H$38,0)*(1+$C$27)^P$4,0)</f>
        <v>0</v>
      </c>
      <c r="Q11" s="428">
        <f ca="1">IF(Q$4&lt;=$C$20,IF(MOD(Q$4,Maintenance!$B$60)=0,-Maintenance!$H$38,0)*(1+$C$27)^Q$4,0)</f>
        <v>0</v>
      </c>
      <c r="R11" s="428">
        <f ca="1">IF(R$4&lt;=$C$20,IF(MOD(R$4,Maintenance!$B$60)=0,-Maintenance!$H$38,0)*(1+$C$27)^R$4,0)</f>
        <v>0</v>
      </c>
      <c r="S11" s="428">
        <f ca="1">IF(S$4&lt;=$C$20,IF(MOD(S$4,Maintenance!$B$60)=0,-Maintenance!$H$38,0)*(1+$C$27)^S$4,0)</f>
        <v>0</v>
      </c>
      <c r="T11" s="428">
        <f ca="1">IF(T$4&lt;=$C$20,IF(MOD(T$4,Maintenance!$B$60)=0,-Maintenance!$H$38,0)*(1+$C$27)^T$4,0)</f>
        <v>-203419.54895469127</v>
      </c>
      <c r="U11" s="428">
        <f ca="1">IF(U$4&lt;=$C$20,IF(MOD(U$4,Maintenance!$B$60)=0,-Maintenance!$H$38,0)*(1+$C$27)^U$4,0)</f>
        <v>0</v>
      </c>
      <c r="V11" s="428">
        <f>IF(V$4&lt;=$C$20,IF(MOD(V$4,Maintenance!$B$60)=0,-Maintenance!$H$38,0)*(1+$C$27)^V$4,0)</f>
        <v>0</v>
      </c>
      <c r="W11" s="428">
        <f>IF(W$4&lt;=$C$20,IF(MOD(W$4,Maintenance!$B$60)=0,-Maintenance!$H$38,0)*(1+$C$27)^W$4,0)</f>
        <v>0</v>
      </c>
      <c r="X11" s="428">
        <f>IF(X$4&lt;=$C$20,IF(MOD(X$4,Maintenance!$B$60)=0,-Maintenance!$H$38,0)*(1+$C$27)^X$4,0)</f>
        <v>0</v>
      </c>
      <c r="Y11" s="428">
        <f>IF(Y$4&lt;=$C$20,IF(MOD(Y$4,Maintenance!$B$60)=0,-Maintenance!$H$38,0)*(1+$C$27)^Y$4,0)</f>
        <v>0</v>
      </c>
      <c r="Z11" s="428">
        <f>IF(Z$4&lt;=$C$20,IF(MOD(Z$4,Maintenance!$B$60)=0,-Maintenance!$H$38,0)*(1+$C$27)^Z$4,0)</f>
        <v>0</v>
      </c>
      <c r="AA11" s="428">
        <f>IF(AA$4&lt;=$C$20,IF(MOD(AA$4,Maintenance!$B$60)=0,-Maintenance!$H$38,0)*(1+$C$27)^AA$4,0)</f>
        <v>0</v>
      </c>
    </row>
    <row r="12" spans="1:27">
      <c r="A12" s="256" t="s">
        <v>392</v>
      </c>
      <c r="B12"/>
      <c r="C12" s="394" t="s">
        <v>394</v>
      </c>
      <c r="E12" s="237" t="s">
        <v>2</v>
      </c>
      <c r="F12" s="429"/>
      <c r="G12" s="428">
        <f>IF(G$4&lt;=$C$20,-'Master Tab'!$F$8*(1+INDEX('Growth Rate Predictions'!$C$47:$X$52,MATCH($A$25,'Growth Rate Predictions'!$C$47:$C$52,0),MATCH(G$5,'Growth Rate Predictions'!$C$47:$X$47,0))),0)</f>
        <v>-41840</v>
      </c>
      <c r="H12" s="428">
        <f>IF(H$4&lt;=$C$20,G12*(1+INDEX('Growth Rate Predictions'!$C$47:$X$52,MATCH($A$25,'Growth Rate Predictions'!$C$47:$C$52,0),MATCH(H$5,'Growth Rate Predictions'!$C$47:$X$47,0))),0)</f>
        <v>-43137.039999999994</v>
      </c>
      <c r="I12" s="428">
        <f>IF(I$4&lt;=$C$20,H12*(1+INDEX('Growth Rate Predictions'!$C$47:$X$52,MATCH($A$25,'Growth Rate Predictions'!$C$47:$C$52,0),MATCH(I$5,'Growth Rate Predictions'!$C$47:$X$47,0))),0)</f>
        <v>-44344.877119999997</v>
      </c>
      <c r="J12" s="428">
        <f>IF(J$4&lt;=$C$20,I12*(1+INDEX('Growth Rate Predictions'!$C$47:$X$52,MATCH($A$25,'Growth Rate Predictions'!$C$47:$C$52,0),MATCH(J$5,'Growth Rate Predictions'!$C$47:$X$47,0))),0)</f>
        <v>-45453.499047999991</v>
      </c>
      <c r="K12" s="428">
        <f>IF(K$4&lt;=$C$20,J12*(1+INDEX('Growth Rate Predictions'!$C$47:$X$52,MATCH($A$25,'Growth Rate Predictions'!$C$47:$C$52,0),MATCH(K$5,'Growth Rate Predictions'!$C$47:$X$47,0))),0)</f>
        <v>-46362.569028959988</v>
      </c>
      <c r="L12" s="428">
        <f>IF(L$4&lt;=$C$20,K12*(1+INDEX('Growth Rate Predictions'!$C$47:$X$52,MATCH($A$25,'Growth Rate Predictions'!$C$47:$C$52,0),MATCH(L$5,'Growth Rate Predictions'!$C$47:$X$47,0))),0)</f>
        <v>-47289.820409539192</v>
      </c>
      <c r="M12" s="428">
        <f>IF(M$4&lt;=$C$20,L12*(1+INDEX('Growth Rate Predictions'!$C$47:$X$52,MATCH($A$25,'Growth Rate Predictions'!$C$47:$C$52,0),MATCH(M$5,'Growth Rate Predictions'!$C$47:$X$47,0))),0)</f>
        <v>-48235.616817729977</v>
      </c>
      <c r="N12" s="428">
        <f>IF(N$4&lt;=$C$20,M12*(1+INDEX('Growth Rate Predictions'!$C$47:$X$52,MATCH($A$25,'Growth Rate Predictions'!$C$47:$C$52,0),MATCH(N$5,'Growth Rate Predictions'!$C$47:$X$47,0))),0)</f>
        <v>-49200.329154084575</v>
      </c>
      <c r="O12" s="428">
        <f>IF(O$4&lt;=$C$20,N12*(1+INDEX('Growth Rate Predictions'!$C$47:$X$52,MATCH($A$25,'Growth Rate Predictions'!$C$47:$C$52,0),MATCH(O$5,'Growth Rate Predictions'!$C$47:$X$47,0))),0)</f>
        <v>-50184.335737166264</v>
      </c>
      <c r="P12" s="428">
        <f>IF(P$4&lt;=$C$20,O12*(1+INDEX('Growth Rate Predictions'!$C$47:$X$52,MATCH($A$25,'Growth Rate Predictions'!$C$47:$C$52,0),MATCH(P$5,'Growth Rate Predictions'!$C$47:$X$47,0))),0)</f>
        <v>-51188.022451909594</v>
      </c>
      <c r="Q12" s="428">
        <f>IF(Q$4&lt;=$C$20,P12*(1+INDEX('Growth Rate Predictions'!$C$47:$X$52,MATCH($A$25,'Growth Rate Predictions'!$C$47:$C$52,0),MATCH(Q$5,'Growth Rate Predictions'!$C$47:$X$47,0))),0)</f>
        <v>-52211.782900947786</v>
      </c>
      <c r="R12" s="428">
        <f>IF(R$4&lt;=$C$20,Q12*(1+INDEX('Growth Rate Predictions'!$C$47:$X$52,MATCH($A$25,'Growth Rate Predictions'!$C$47:$C$52,0),MATCH(R$5,'Growth Rate Predictions'!$C$47:$X$47,0))),0)</f>
        <v>-53256.018558966745</v>
      </c>
      <c r="S12" s="428">
        <f>IF(S$4&lt;=$C$20,R12*(1+INDEX('Growth Rate Predictions'!$C$47:$X$52,MATCH($A$25,'Growth Rate Predictions'!$C$47:$C$52,0),MATCH(S$5,'Growth Rate Predictions'!$C$47:$X$47,0))),0)</f>
        <v>-54321.13893014608</v>
      </c>
      <c r="T12" s="428">
        <f>IF(T$4&lt;=$C$20,S12*(1+INDEX('Growth Rate Predictions'!$C$47:$X$52,MATCH($A$25,'Growth Rate Predictions'!$C$47:$C$52,0),MATCH(T$5,'Growth Rate Predictions'!$C$47:$X$47,0))),0)</f>
        <v>-55407.561708749003</v>
      </c>
      <c r="U12" s="428">
        <f>IF(U$4&lt;=$C$20,T12*(1+INDEX('Growth Rate Predictions'!$C$47:$X$52,MATCH($A$25,'Growth Rate Predictions'!$C$47:$C$52,0),MATCH(U$5,'Growth Rate Predictions'!$C$47:$X$47,0))),0)</f>
        <v>-56515.712942923987</v>
      </c>
      <c r="V12" s="428">
        <f>IF(V$4&lt;=$C$20,U12*(1+INDEX('Growth Rate Predictions'!$C$47:$X$52,MATCH($A$25,'Growth Rate Predictions'!$C$47:$C$52,0),MATCH(V$5,'Growth Rate Predictions'!$C$47:$X$47,0))),0)</f>
        <v>0</v>
      </c>
      <c r="W12" s="428">
        <f>IF(W$4&lt;=$C$20,V12*(1+INDEX('Growth Rate Predictions'!$C$47:$X$52,MATCH($A$25,'Growth Rate Predictions'!$C$47:$C$52,0),MATCH(W$5,'Growth Rate Predictions'!$C$47:$X$47,0))),0)</f>
        <v>0</v>
      </c>
      <c r="X12" s="428">
        <f>IF(X$4&lt;=$C$20,W12*(1+INDEX('Growth Rate Predictions'!$C$47:$X$52,MATCH($A$25,'Growth Rate Predictions'!$C$47:$C$52,0),MATCH(X$5,'Growth Rate Predictions'!$C$47:$X$47,0))),0)</f>
        <v>0</v>
      </c>
      <c r="Y12" s="428">
        <f>IF(Y$4&lt;=$C$20,X12*(1+INDEX('Growth Rate Predictions'!$C$47:$X$52,MATCH($A$25,'Growth Rate Predictions'!$C$47:$C$52,0),MATCH(Y$5,'Growth Rate Predictions'!$C$47:$X$47,0))),0)</f>
        <v>0</v>
      </c>
      <c r="Z12" s="428">
        <f>IF(Z$4&lt;=$C$20,Y12*(1+INDEX('Growth Rate Predictions'!$C$47:$X$52,MATCH($A$25,'Growth Rate Predictions'!$C$47:$C$52,0),MATCH(Z$5,'Growth Rate Predictions'!$C$47:$X$47,0))),0)</f>
        <v>0</v>
      </c>
      <c r="AA12" s="428">
        <f>IF(AA$4&lt;=$C$20,Z12*(1+INDEX('Growth Rate Predictions'!$C$47:$X$52,MATCH($A$25,'Growth Rate Predictions'!$C$47:$C$52,0),MATCH(AA$5,'Growth Rate Predictions'!$C$47:$X$47,0))),0)</f>
        <v>0</v>
      </c>
    </row>
    <row r="13" spans="1:27">
      <c r="A13" s="523" t="s">
        <v>712</v>
      </c>
      <c r="B13" s="256"/>
      <c r="C13" s="235">
        <f>INDEX(Assumptions!$A$6:$D$58,MATCH(A13,Assumptions!$A$6:$A$58,0),MATCH($C$12,Assumptions!$A$6:$D$6,0))</f>
        <v>0.35</v>
      </c>
      <c r="E13" s="237" t="s">
        <v>3</v>
      </c>
      <c r="F13" s="429"/>
      <c r="G13" s="428">
        <f ca="1">IF(G$4&lt;=$C$20,-'Master Tab'!$F$9*(1+INDEX('Growth Rate Predictions'!$C$47:$X$52,MATCH($A$24,'Growth Rate Predictions'!$C$47:$C$52,0),MATCH(G$5,'Growth Rate Predictions'!$C$47:$X$47,0))),0)</f>
        <v>-206010.00000000003</v>
      </c>
      <c r="H13" s="428">
        <f ca="1">IF(H$4&lt;=$C$20,G13*(1+INDEX('Growth Rate Predictions'!$C$47:$X$52,MATCH($A$24,'Growth Rate Predictions'!$C$47:$C$52,0),MATCH(H$5,'Growth Rate Predictions'!$C$47:$X$47,0))),0)</f>
        <v>-211366.26000000004</v>
      </c>
      <c r="I13" s="428">
        <f ca="1">IF(I$4&lt;=$C$20,H13*(1+INDEX('Growth Rate Predictions'!$C$47:$X$52,MATCH($A$24,'Growth Rate Predictions'!$C$47:$C$52,0),MATCH(I$5,'Growth Rate Predictions'!$C$47:$X$47,0))),0)</f>
        <v>-216227.68398000003</v>
      </c>
      <c r="J13" s="428">
        <f ca="1">IF(J$4&lt;=$C$20,I13*(1+INDEX('Growth Rate Predictions'!$C$47:$X$52,MATCH($A$24,'Growth Rate Predictions'!$C$47:$C$52,0),MATCH(J$5,'Growth Rate Predictions'!$C$47:$X$47,0))),0)</f>
        <v>-220552.23765960004</v>
      </c>
      <c r="K13" s="428">
        <f ca="1">IF(K$4&lt;=$C$20,J13*(1+INDEX('Growth Rate Predictions'!$C$47:$X$52,MATCH($A$24,'Growth Rate Predictions'!$C$47:$C$52,0),MATCH(K$5,'Growth Rate Predictions'!$C$47:$X$47,0))),0)</f>
        <v>-224963.28241279203</v>
      </c>
      <c r="L13" s="428">
        <f ca="1">IF(L$4&lt;=$C$20,K13*(1+INDEX('Growth Rate Predictions'!$C$47:$X$52,MATCH($A$24,'Growth Rate Predictions'!$C$47:$C$52,0),MATCH(L$5,'Growth Rate Predictions'!$C$47:$X$47,0))),0)</f>
        <v>-229462.54806104788</v>
      </c>
      <c r="M13" s="428">
        <f ca="1">IF(M$4&lt;=$C$20,L13*(1+INDEX('Growth Rate Predictions'!$C$47:$X$52,MATCH($A$24,'Growth Rate Predictions'!$C$47:$C$52,0),MATCH(M$5,'Growth Rate Predictions'!$C$47:$X$47,0))),0)</f>
        <v>-234051.79902226885</v>
      </c>
      <c r="N13" s="428">
        <f ca="1">IF(N$4&lt;=$C$20,M13*(1+INDEX('Growth Rate Predictions'!$C$47:$X$52,MATCH($A$24,'Growth Rate Predictions'!$C$47:$C$52,0),MATCH(N$5,'Growth Rate Predictions'!$C$47:$X$47,0))),0)</f>
        <v>-238732.83500271424</v>
      </c>
      <c r="O13" s="428">
        <f ca="1">IF(O$4&lt;=$C$20,N13*(1+INDEX('Growth Rate Predictions'!$C$47:$X$52,MATCH($A$24,'Growth Rate Predictions'!$C$47:$C$52,0),MATCH(O$5,'Growth Rate Predictions'!$C$47:$X$47,0))),0)</f>
        <v>-243507.49170276854</v>
      </c>
      <c r="P13" s="428">
        <f ca="1">IF(P$4&lt;=$C$20,O13*(1+INDEX('Growth Rate Predictions'!$C$47:$X$52,MATCH($A$24,'Growth Rate Predictions'!$C$47:$C$52,0),MATCH(P$5,'Growth Rate Predictions'!$C$47:$X$47,0))),0)</f>
        <v>-248377.64153682391</v>
      </c>
      <c r="Q13" s="428">
        <f ca="1">IF(Q$4&lt;=$C$20,P13*(1+INDEX('Growth Rate Predictions'!$C$47:$X$52,MATCH($A$24,'Growth Rate Predictions'!$C$47:$C$52,0),MATCH(Q$5,'Growth Rate Predictions'!$C$47:$X$47,0))),0)</f>
        <v>-253345.19436756038</v>
      </c>
      <c r="R13" s="428">
        <f ca="1">IF(R$4&lt;=$C$20,Q13*(1+INDEX('Growth Rate Predictions'!$C$47:$X$52,MATCH($A$24,'Growth Rate Predictions'!$C$47:$C$52,0),MATCH(R$5,'Growth Rate Predictions'!$C$47:$X$47,0))),0)</f>
        <v>-258412.0982549116</v>
      </c>
      <c r="S13" s="428">
        <f ca="1">IF(S$4&lt;=$C$20,R13*(1+INDEX('Growth Rate Predictions'!$C$47:$X$52,MATCH($A$24,'Growth Rate Predictions'!$C$47:$C$52,0),MATCH(S$5,'Growth Rate Predictions'!$C$47:$X$47,0))),0)</f>
        <v>-263580.34022000985</v>
      </c>
      <c r="T13" s="428">
        <f ca="1">IF(T$4&lt;=$C$20,S13*(1+INDEX('Growth Rate Predictions'!$C$47:$X$52,MATCH($A$24,'Growth Rate Predictions'!$C$47:$C$52,0),MATCH(T$5,'Growth Rate Predictions'!$C$47:$X$47,0))),0)</f>
        <v>-268851.94702441007</v>
      </c>
      <c r="U13" s="428">
        <f ca="1">IF(U$4&lt;=$C$20,T13*(1+INDEX('Growth Rate Predictions'!$C$47:$X$52,MATCH($A$24,'Growth Rate Predictions'!$C$47:$C$52,0),MATCH(U$5,'Growth Rate Predictions'!$C$47:$X$47,0))),0)</f>
        <v>-274228.98596489825</v>
      </c>
      <c r="V13" s="428">
        <f>IF(V$4&lt;=$C$20,U13*(1+INDEX('Growth Rate Predictions'!$C$47:$X$52,MATCH($A$24,'Growth Rate Predictions'!$C$47:$C$52,0),MATCH(V$5,'Growth Rate Predictions'!$C$47:$X$47,0))),0)</f>
        <v>0</v>
      </c>
      <c r="W13" s="428">
        <f>IF(W$4&lt;=$C$20,V13*(1+INDEX('Growth Rate Predictions'!$C$47:$X$52,MATCH($A$24,'Growth Rate Predictions'!$C$47:$C$52,0),MATCH(W$5,'Growth Rate Predictions'!$C$47:$X$47,0))),0)</f>
        <v>0</v>
      </c>
      <c r="X13" s="428">
        <f>IF(X$4&lt;=$C$20,W13*(1+INDEX('Growth Rate Predictions'!$C$47:$X$52,MATCH($A$24,'Growth Rate Predictions'!$C$47:$C$52,0),MATCH(X$5,'Growth Rate Predictions'!$C$47:$X$47,0))),0)</f>
        <v>0</v>
      </c>
      <c r="Y13" s="428">
        <f>IF(Y$4&lt;=$C$20,X13*(1+INDEX('Growth Rate Predictions'!$C$47:$X$52,MATCH($A$24,'Growth Rate Predictions'!$C$47:$C$52,0),MATCH(Y$5,'Growth Rate Predictions'!$C$47:$X$47,0))),0)</f>
        <v>0</v>
      </c>
      <c r="Z13" s="428">
        <f>IF(Z$4&lt;=$C$20,Y13*(1+INDEX('Growth Rate Predictions'!$C$47:$X$52,MATCH($A$24,'Growth Rate Predictions'!$C$47:$C$52,0),MATCH(Z$5,'Growth Rate Predictions'!$C$47:$X$47,0))),0)</f>
        <v>0</v>
      </c>
      <c r="AA13" s="428">
        <f>IF(AA$4&lt;=$C$20,Z13*(1+INDEX('Growth Rate Predictions'!$C$47:$X$52,MATCH($A$24,'Growth Rate Predictions'!$C$47:$C$52,0),MATCH(AA$5,'Growth Rate Predictions'!$C$47:$X$47,0))),0)</f>
        <v>0</v>
      </c>
    </row>
    <row r="14" spans="1:27">
      <c r="A14" s="256"/>
      <c r="B14" s="256"/>
      <c r="C14" s="235"/>
      <c r="E14" s="237" t="s">
        <v>409</v>
      </c>
      <c r="F14" s="429"/>
      <c r="G14" s="428">
        <f ca="1">'Master Tab'!F6*C33</f>
        <v>431970.76903846156</v>
      </c>
      <c r="H14" s="428"/>
      <c r="I14" s="428"/>
      <c r="J14" s="428"/>
      <c r="K14" s="428"/>
      <c r="L14" s="428"/>
      <c r="M14" s="428"/>
      <c r="N14" s="428"/>
      <c r="O14" s="428"/>
      <c r="P14" s="428"/>
      <c r="Q14" s="428"/>
      <c r="R14" s="428"/>
      <c r="S14" s="428"/>
      <c r="T14" s="428"/>
      <c r="U14" s="428"/>
      <c r="V14" s="428"/>
      <c r="W14" s="428"/>
      <c r="X14" s="428"/>
      <c r="Y14" s="428"/>
      <c r="Z14" s="428"/>
      <c r="AA14" s="428"/>
    </row>
    <row r="15" spans="1:27">
      <c r="A15" s="270" t="s">
        <v>691</v>
      </c>
      <c r="B15" s="256"/>
      <c r="C15" s="235"/>
      <c r="E15" s="237" t="s">
        <v>263</v>
      </c>
      <c r="F15" s="430">
        <f t="shared" ref="F15:AA15" ca="1" si="0">SUM(F6:F14)</f>
        <v>-1727883.0761538462</v>
      </c>
      <c r="G15" s="430">
        <f t="shared" ca="1" si="0"/>
        <v>646244.91396642942</v>
      </c>
      <c r="H15" s="430">
        <f t="shared" ca="1" si="0"/>
        <v>220542.7231838913</v>
      </c>
      <c r="I15" s="430">
        <f t="shared" ca="1" si="0"/>
        <v>228854.74114568264</v>
      </c>
      <c r="J15" s="430">
        <f t="shared" ca="1" si="0"/>
        <v>236302.78861095558</v>
      </c>
      <c r="K15" s="430">
        <f t="shared" ca="1" si="0"/>
        <v>241001.71320192242</v>
      </c>
      <c r="L15" s="430">
        <f t="shared" ca="1" si="0"/>
        <v>245843.38492046212</v>
      </c>
      <c r="M15" s="430">
        <f t="shared" ca="1" si="0"/>
        <v>73207.623644721054</v>
      </c>
      <c r="N15" s="430">
        <f t="shared" ca="1" si="0"/>
        <v>255775.45767124876</v>
      </c>
      <c r="O15" s="430">
        <f t="shared" ca="1" si="0"/>
        <v>260890.9668246737</v>
      </c>
      <c r="P15" s="430">
        <f t="shared" ca="1" si="0"/>
        <v>266108.78616116708</v>
      </c>
      <c r="Q15" s="430">
        <f t="shared" ca="1" si="0"/>
        <v>271430.9618843905</v>
      </c>
      <c r="R15" s="430">
        <f t="shared" ca="1" si="0"/>
        <v>276859.58112207858</v>
      </c>
      <c r="S15" s="430">
        <f t="shared" ca="1" si="0"/>
        <v>282396.77274452004</v>
      </c>
      <c r="T15" s="430">
        <f t="shared" ca="1" si="0"/>
        <v>84625.159244719194</v>
      </c>
      <c r="U15" s="430">
        <f t="shared" ca="1" si="0"/>
        <v>293805.60236339853</v>
      </c>
      <c r="V15" s="430">
        <f t="shared" si="0"/>
        <v>0</v>
      </c>
      <c r="W15" s="430">
        <f t="shared" si="0"/>
        <v>0</v>
      </c>
      <c r="X15" s="430">
        <f t="shared" si="0"/>
        <v>0</v>
      </c>
      <c r="Y15" s="430">
        <f t="shared" si="0"/>
        <v>0</v>
      </c>
      <c r="Z15" s="430">
        <f t="shared" si="0"/>
        <v>0</v>
      </c>
      <c r="AA15" s="430">
        <f t="shared" si="0"/>
        <v>0</v>
      </c>
    </row>
    <row r="16" spans="1:27">
      <c r="A16" s="256" t="s">
        <v>243</v>
      </c>
      <c r="B16" s="256"/>
      <c r="C16" s="421">
        <f ca="1">'Dynamic Tracking Chart'!R4*(1+C23)</f>
        <v>264646.58105116308</v>
      </c>
      <c r="E16" s="237" t="s">
        <v>262</v>
      </c>
      <c r="F16" s="431">
        <f t="shared" ref="F16:AA16" ca="1" si="1">F15/(1+$C$29)^F4</f>
        <v>-1727883.0761538462</v>
      </c>
      <c r="G16" s="431">
        <f t="shared" ca="1" si="1"/>
        <v>627287.10578413203</v>
      </c>
      <c r="H16" s="431">
        <f t="shared" ca="1" si="1"/>
        <v>207793.12640687576</v>
      </c>
      <c r="I16" s="431">
        <f t="shared" ca="1" si="1"/>
        <v>209299.20610601787</v>
      </c>
      <c r="J16" s="431">
        <f t="shared" ca="1" si="1"/>
        <v>209771.13887231622</v>
      </c>
      <c r="K16" s="431">
        <f t="shared" ca="1" si="1"/>
        <v>207666.40343063284</v>
      </c>
      <c r="L16" s="431">
        <f t="shared" ca="1" si="1"/>
        <v>205624.02727536438</v>
      </c>
      <c r="M16" s="431">
        <f t="shared" ca="1" si="1"/>
        <v>59434.808247706147</v>
      </c>
      <c r="N16" s="431">
        <f t="shared" ca="1" si="1"/>
        <v>201563.85181808248</v>
      </c>
      <c r="O16" s="431">
        <f t="shared" ca="1" si="1"/>
        <v>199563.92778530929</v>
      </c>
      <c r="P16" s="431">
        <f t="shared" ca="1" si="1"/>
        <v>197583.84707315522</v>
      </c>
      <c r="Q16" s="431">
        <f t="shared" ca="1" si="1"/>
        <v>195623.41279545546</v>
      </c>
      <c r="R16" s="431">
        <f t="shared" ca="1" si="1"/>
        <v>193682.43001955672</v>
      </c>
      <c r="S16" s="431">
        <f t="shared" ca="1" si="1"/>
        <v>191760.70574693455</v>
      </c>
      <c r="T16" s="431">
        <f t="shared" ca="1" si="1"/>
        <v>55778.728663273592</v>
      </c>
      <c r="U16" s="431">
        <f t="shared" ca="1" si="1"/>
        <v>187974.27027311648</v>
      </c>
      <c r="V16" s="431">
        <f t="shared" si="1"/>
        <v>0</v>
      </c>
      <c r="W16" s="431">
        <f t="shared" si="1"/>
        <v>0</v>
      </c>
      <c r="X16" s="431">
        <f t="shared" si="1"/>
        <v>0</v>
      </c>
      <c r="Y16" s="431">
        <f t="shared" si="1"/>
        <v>0</v>
      </c>
      <c r="Z16" s="431">
        <f t="shared" si="1"/>
        <v>0</v>
      </c>
      <c r="AA16" s="431">
        <f t="shared" si="1"/>
        <v>0</v>
      </c>
    </row>
    <row r="17" spans="1:27">
      <c r="A17" s="256" t="s">
        <v>692</v>
      </c>
      <c r="B17" s="256"/>
      <c r="C17" s="421">
        <f ca="1">'Dynamic Tracking Chart'!R5*(1+C24)</f>
        <v>257125.1691778723</v>
      </c>
      <c r="E17"/>
      <c r="F17" s="240"/>
      <c r="G17" s="240"/>
      <c r="H17" s="240"/>
      <c r="I17" s="240"/>
      <c r="J17" s="240"/>
      <c r="K17" s="240"/>
      <c r="L17" s="240"/>
      <c r="M17" s="240"/>
      <c r="N17" s="240"/>
      <c r="O17" s="240"/>
      <c r="P17" s="240"/>
      <c r="Q17" s="240"/>
      <c r="R17" s="240"/>
      <c r="S17" s="240"/>
      <c r="T17" s="240"/>
      <c r="U17" s="240"/>
      <c r="V17" s="240"/>
      <c r="W17" s="240"/>
      <c r="X17" s="240"/>
      <c r="Y17" s="240"/>
      <c r="Z17" s="240"/>
      <c r="AA17" s="240"/>
    </row>
    <row r="18" spans="1:27">
      <c r="A18" s="256" t="s">
        <v>693</v>
      </c>
      <c r="B18" s="256"/>
      <c r="C18" s="421">
        <f ca="1">C16-C17</f>
        <v>7521.4118732907809</v>
      </c>
      <c r="E18"/>
      <c r="F18" s="29" t="s">
        <v>120</v>
      </c>
      <c r="G18" s="424">
        <f ca="1">SUM(F16:AA16)</f>
        <v>1422523.9141440827</v>
      </c>
      <c r="H18" s="29"/>
      <c r="I18" s="29"/>
      <c r="J18" s="29"/>
      <c r="K18" s="29"/>
      <c r="L18" s="29"/>
      <c r="M18" s="29"/>
      <c r="N18" s="29"/>
      <c r="O18" s="29"/>
      <c r="P18" s="29"/>
      <c r="Q18" s="29"/>
      <c r="R18" s="29"/>
      <c r="S18" s="29"/>
      <c r="T18" s="29"/>
      <c r="U18" s="29"/>
      <c r="V18" s="29"/>
      <c r="W18" s="29"/>
      <c r="X18" s="29"/>
      <c r="Y18" s="29"/>
      <c r="Z18" s="29"/>
      <c r="AA18" s="29"/>
    </row>
    <row r="19" spans="1:27">
      <c r="A19" s="256"/>
      <c r="B19" s="256"/>
      <c r="C19" s="421"/>
      <c r="E19"/>
      <c r="F19" s="29" t="s">
        <v>121</v>
      </c>
      <c r="G19" s="191">
        <f ca="1">IRR(F15:AA15)</f>
        <v>0.14536419409280921</v>
      </c>
      <c r="H19" s="239"/>
      <c r="I19" s="41"/>
      <c r="J19" s="76"/>
      <c r="K19" s="76"/>
      <c r="L19" s="76"/>
      <c r="M19"/>
      <c r="N19"/>
      <c r="O19"/>
      <c r="P19"/>
      <c r="Q19"/>
      <c r="R19"/>
      <c r="S19"/>
      <c r="T19"/>
      <c r="U19"/>
      <c r="V19"/>
      <c r="W19"/>
      <c r="X19"/>
      <c r="Y19"/>
      <c r="Z19"/>
      <c r="AA19"/>
    </row>
    <row r="20" spans="1:27">
      <c r="A20" s="256" t="s">
        <v>366</v>
      </c>
      <c r="B20" s="29"/>
      <c r="C20" s="117">
        <f>INDEX(Assumptions!$A$6:$D$54,MATCH(A20,Assumptions!$A$6:$A$54,0),MATCH($C$12,Assumptions!$A$6:$D$6,0))</f>
        <v>15</v>
      </c>
      <c r="E20"/>
      <c r="F20"/>
      <c r="G20"/>
      <c r="H20"/>
      <c r="I20"/>
      <c r="J20"/>
      <c r="K20"/>
      <c r="L20"/>
      <c r="M20"/>
      <c r="N20"/>
      <c r="O20"/>
      <c r="P20"/>
      <c r="Q20"/>
      <c r="R20"/>
      <c r="S20"/>
      <c r="T20"/>
      <c r="U20"/>
      <c r="V20"/>
      <c r="W20"/>
      <c r="X20"/>
      <c r="Y20"/>
      <c r="Z20"/>
      <c r="AA20"/>
    </row>
    <row r="21" spans="1:27">
      <c r="A21" s="397"/>
      <c r="B21"/>
      <c r="C21" s="113"/>
      <c r="E21" s="42"/>
      <c r="F21" s="42"/>
      <c r="G21" s="42"/>
      <c r="H21" s="42"/>
      <c r="I21" s="42"/>
      <c r="J21" s="42"/>
      <c r="K21" s="42"/>
      <c r="L21" s="42"/>
    </row>
    <row r="22" spans="1:27" ht="23.25">
      <c r="A22" s="270" t="s">
        <v>789</v>
      </c>
      <c r="B22"/>
      <c r="C22" s="113"/>
      <c r="E22" s="332" t="s">
        <v>552</v>
      </c>
      <c r="F22" s="2"/>
      <c r="G22" s="42"/>
      <c r="H22" s="27" t="s">
        <v>803</v>
      </c>
      <c r="I22" s="2"/>
      <c r="J22" s="2"/>
    </row>
    <row r="23" spans="1:27">
      <c r="A23" s="29" t="s">
        <v>688</v>
      </c>
      <c r="B23"/>
      <c r="C23" s="507">
        <f>INDEX(Assumptions!$A$6:$D$17,MATCH(A23,Assumptions!$A$6:$A$17,0),MATCH($C$12,Assumptions!$A$6:$D$6,0))</f>
        <v>2.238095238095238E-2</v>
      </c>
      <c r="E23" s="75" t="s">
        <v>630</v>
      </c>
      <c r="F23" s="75" t="b">
        <f ca="1">'Master Tab'!C31</f>
        <v>1</v>
      </c>
      <c r="G23" s="42"/>
      <c r="H23" s="46"/>
      <c r="I23" s="288"/>
      <c r="J23" s="46"/>
      <c r="K23" s="42"/>
      <c r="L23" s="42"/>
      <c r="M23" s="42"/>
      <c r="N23" s="42"/>
      <c r="O23" s="42"/>
      <c r="P23" s="42"/>
      <c r="Q23" s="42"/>
      <c r="R23" s="42"/>
      <c r="S23" s="42"/>
      <c r="T23" s="42"/>
      <c r="U23" s="42"/>
      <c r="V23" s="42"/>
    </row>
    <row r="24" spans="1:27">
      <c r="A24" s="29" t="s">
        <v>764</v>
      </c>
      <c r="B24"/>
      <c r="C24" s="507">
        <f>INDEX(Assumptions!$A$6:$D$17,MATCH(A24,Assumptions!$A$6:$A$17,0),MATCH($C$12,Assumptions!$A$6:$D$6,0))</f>
        <v>2.3761904761904762E-2</v>
      </c>
      <c r="E24" s="75" t="s">
        <v>631</v>
      </c>
      <c r="F24" s="75" t="b">
        <f>'Master Tab'!C32</f>
        <v>1</v>
      </c>
      <c r="G24" s="42"/>
      <c r="H24" s="256"/>
      <c r="I24" s="292" t="s">
        <v>121</v>
      </c>
      <c r="J24" s="292" t="s">
        <v>120</v>
      </c>
    </row>
    <row r="25" spans="1:27">
      <c r="A25" s="29" t="s">
        <v>2</v>
      </c>
      <c r="B25"/>
      <c r="C25" s="507">
        <f>INDEX(Assumptions!$A$6:$D$17,MATCH(A25,Assumptions!$A$6:$A$17,0),MATCH($C$12,Assumptions!$A$6:$D$6,0))</f>
        <v>2.238095238095238E-2</v>
      </c>
      <c r="E25" s="75" t="s">
        <v>632</v>
      </c>
      <c r="F25" s="75" t="b">
        <f>'Master Tab'!C33</f>
        <v>1</v>
      </c>
      <c r="G25" s="42"/>
      <c r="H25" s="256" t="s">
        <v>804</v>
      </c>
      <c r="I25" s="556">
        <v>0.37097305304133865</v>
      </c>
      <c r="J25" s="557">
        <v>8682920.3639000002</v>
      </c>
    </row>
    <row r="26" spans="1:27">
      <c r="A26" s="29" t="s">
        <v>690</v>
      </c>
      <c r="B26"/>
      <c r="C26" s="507">
        <f>INDEX(Assumptions!$A$6:$D$17,MATCH(A26,Assumptions!$A$6:$A$17,0),MATCH($C$12,Assumptions!$A$6:$D$6,0))</f>
        <v>1.2929092810051234E-2</v>
      </c>
      <c r="E26" s="29"/>
      <c r="F26" s="75"/>
      <c r="G26" s="42"/>
      <c r="H26" s="256" t="s">
        <v>805</v>
      </c>
      <c r="I26" s="556">
        <v>0.14536419409280921</v>
      </c>
      <c r="J26" s="557">
        <v>1422523.9140999999</v>
      </c>
    </row>
    <row r="27" spans="1:27">
      <c r="A27" s="29" t="s">
        <v>212</v>
      </c>
      <c r="B27"/>
      <c r="C27" s="507">
        <f>INDEX(Assumptions!$A$6:$D$17,MATCH(A27,Assumptions!$A$6:$A$17,0),MATCH($C$12,Assumptions!$A$6:$D$6,0))</f>
        <v>1.9619047619047619E-2</v>
      </c>
      <c r="E27" s="42"/>
      <c r="F27" s="42"/>
      <c r="G27" s="42"/>
      <c r="H27" s="29" t="s">
        <v>806</v>
      </c>
      <c r="I27" s="556">
        <v>9.9013071353541982E-3</v>
      </c>
      <c r="J27" s="557">
        <v>-239219.21160000001</v>
      </c>
    </row>
    <row r="28" spans="1:27" ht="15.75" thickBot="1">
      <c r="A28" s="46"/>
      <c r="B28" s="32"/>
      <c r="C28" s="32"/>
      <c r="E28" s="42"/>
      <c r="F28" s="42"/>
      <c r="G28" s="42"/>
      <c r="H28"/>
      <c r="I28"/>
      <c r="J28"/>
      <c r="K28" s="289"/>
    </row>
    <row r="29" spans="1:27">
      <c r="A29" s="256" t="s">
        <v>689</v>
      </c>
      <c r="B29"/>
      <c r="C29" s="303">
        <f>INDEX(Assumptions!$A$6:$D$54,MATCH(A29,Assumptions!$A$6:$A$54,0),MATCH($C$12,Assumptions!$A$6:$D$6,0))</f>
        <v>3.0221900000000003E-2</v>
      </c>
      <c r="E29" s="42"/>
      <c r="F29" s="42"/>
      <c r="H29" s="446"/>
    </row>
    <row r="30" spans="1:27">
      <c r="A30" s="256"/>
      <c r="B30" s="256"/>
      <c r="C30" s="235"/>
      <c r="E30" s="42"/>
      <c r="F30" s="42"/>
      <c r="H30" s="446"/>
    </row>
    <row r="31" spans="1:27">
      <c r="A31" s="270" t="s">
        <v>401</v>
      </c>
      <c r="B31"/>
      <c r="C31" s="113"/>
      <c r="E31" s="42"/>
      <c r="F31" s="42"/>
      <c r="G31" s="290"/>
      <c r="H31" s="446"/>
    </row>
    <row r="32" spans="1:27">
      <c r="A32" s="29" t="s">
        <v>402</v>
      </c>
      <c r="B32"/>
      <c r="C32" s="118" t="s">
        <v>636</v>
      </c>
      <c r="E32" s="42"/>
      <c r="F32" s="42"/>
      <c r="G32" s="290"/>
    </row>
    <row r="33" spans="1:8">
      <c r="A33" s="29" t="s">
        <v>410</v>
      </c>
      <c r="B33"/>
      <c r="C33" s="235">
        <v>0.25</v>
      </c>
      <c r="E33" s="42"/>
      <c r="F33" s="42"/>
      <c r="G33" s="293"/>
      <c r="H33" s="293"/>
    </row>
    <row r="34" spans="1:8">
      <c r="A34" s="29" t="s">
        <v>433</v>
      </c>
      <c r="B34"/>
      <c r="C34" s="421">
        <f ca="1">NPV(C29,G14:L14)</f>
        <v>419298.76373086381</v>
      </c>
      <c r="E34" s="42"/>
      <c r="F34" s="42"/>
      <c r="G34" s="293"/>
      <c r="H34" s="293"/>
    </row>
    <row r="35" spans="1:8">
      <c r="A35"/>
      <c r="B35"/>
      <c r="C35"/>
    </row>
  </sheetData>
  <conditionalFormatting sqref="F23:F25">
    <cfRule type="cellIs" dxfId="93" priority="2" operator="equal">
      <formula>FALSE</formula>
    </cfRule>
    <cfRule type="cellIs" dxfId="92" priority="3" operator="equal">
      <formula>TRUE</formula>
    </cfRule>
  </conditionalFormatting>
  <conditionalFormatting sqref="A13">
    <cfRule type="expression" dxfId="91" priority="1">
      <formula>MOD(ROW(),2)=0</formula>
    </cfRule>
  </conditionalFormatting>
  <dataValidations count="2">
    <dataValidation type="list" allowBlank="1" showInputMessage="1" showErrorMessage="1" sqref="C12" xr:uid="{FEFC99D6-49ED-40A6-85F7-042220A45695}">
      <formula1>"Best Case,Most Likely Case, Worst Case"</formula1>
    </dataValidation>
    <dataValidation type="list" allowBlank="1" showInputMessage="1" showErrorMessage="1" sqref="C22 C31" xr:uid="{EB3DDE4E-913C-40BC-97F9-3C893516EF1B}">
      <formula1>"SAT 46, CYS08, Average"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87" r:id="rId3" name="Button 31">
              <controlPr defaultSize="0" print="0" autoFill="0" autoPict="0" macro="[0]!summarize_npvs">
                <anchor moveWithCells="1" sizeWithCells="1">
                  <from>
                    <xdr:col>7</xdr:col>
                    <xdr:colOff>66675</xdr:colOff>
                    <xdr:row>29</xdr:row>
                    <xdr:rowOff>123825</xdr:rowOff>
                  </from>
                  <to>
                    <xdr:col>9</xdr:col>
                    <xdr:colOff>209550</xdr:colOff>
                    <xdr:row>32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82B2-A211-4B69-B379-DCC5FADF689A}">
  <sheetPr codeName="Sheet12">
    <tabColor rgb="FFFFFF00"/>
  </sheetPr>
  <dimension ref="A1:AA35"/>
  <sheetViews>
    <sheetView showGridLines="0" zoomScale="95" zoomScaleNormal="95" workbookViewId="0">
      <pane xSplit="6" ySplit="5" topLeftCell="G6" activePane="bottomRight" state="frozen"/>
      <selection activeCell="B22" sqref="B22:D22"/>
      <selection pane="topRight" activeCell="B22" sqref="B22:D22"/>
      <selection pane="bottomLeft" activeCell="B22" sqref="B22:D22"/>
      <selection pane="bottomRight" activeCell="G24" sqref="G24"/>
    </sheetView>
  </sheetViews>
  <sheetFormatPr defaultRowHeight="15"/>
  <cols>
    <col min="1" max="1" width="3.140625" style="3" customWidth="1"/>
    <col min="2" max="2" width="19.28515625" style="3" customWidth="1"/>
    <col min="3" max="3" width="13.28515625" style="3" bestFit="1" customWidth="1"/>
    <col min="4" max="4" width="7.28515625" style="3" customWidth="1"/>
    <col min="5" max="5" width="19.7109375" style="3" customWidth="1"/>
    <col min="6" max="6" width="10.5703125" style="3" customWidth="1"/>
    <col min="7" max="7" width="11.140625" style="3" bestFit="1" customWidth="1"/>
    <col min="8" max="27" width="10.5703125" style="3" customWidth="1"/>
    <col min="28" max="260" width="9.140625" style="3"/>
    <col min="261" max="261" width="37.5703125" style="3" customWidth="1"/>
    <col min="262" max="262" width="12.5703125" style="3" customWidth="1"/>
    <col min="263" max="271" width="13.42578125" style="3" customWidth="1"/>
    <col min="272" max="516" width="9.140625" style="3"/>
    <col min="517" max="517" width="37.5703125" style="3" customWidth="1"/>
    <col min="518" max="518" width="12.5703125" style="3" customWidth="1"/>
    <col min="519" max="527" width="13.42578125" style="3" customWidth="1"/>
    <col min="528" max="772" width="9.140625" style="3"/>
    <col min="773" max="773" width="37.5703125" style="3" customWidth="1"/>
    <col min="774" max="774" width="12.5703125" style="3" customWidth="1"/>
    <col min="775" max="783" width="13.42578125" style="3" customWidth="1"/>
    <col min="784" max="1028" width="9.140625" style="3"/>
    <col min="1029" max="1029" width="37.5703125" style="3" customWidth="1"/>
    <col min="1030" max="1030" width="12.5703125" style="3" customWidth="1"/>
    <col min="1031" max="1039" width="13.42578125" style="3" customWidth="1"/>
    <col min="1040" max="1284" width="9.140625" style="3"/>
    <col min="1285" max="1285" width="37.5703125" style="3" customWidth="1"/>
    <col min="1286" max="1286" width="12.5703125" style="3" customWidth="1"/>
    <col min="1287" max="1295" width="13.42578125" style="3" customWidth="1"/>
    <col min="1296" max="1540" width="9.140625" style="3"/>
    <col min="1541" max="1541" width="37.5703125" style="3" customWidth="1"/>
    <col min="1542" max="1542" width="12.5703125" style="3" customWidth="1"/>
    <col min="1543" max="1551" width="13.42578125" style="3" customWidth="1"/>
    <col min="1552" max="1796" width="9.140625" style="3"/>
    <col min="1797" max="1797" width="37.5703125" style="3" customWidth="1"/>
    <col min="1798" max="1798" width="12.5703125" style="3" customWidth="1"/>
    <col min="1799" max="1807" width="13.42578125" style="3" customWidth="1"/>
    <col min="1808" max="2052" width="9.140625" style="3"/>
    <col min="2053" max="2053" width="37.5703125" style="3" customWidth="1"/>
    <col min="2054" max="2054" width="12.5703125" style="3" customWidth="1"/>
    <col min="2055" max="2063" width="13.42578125" style="3" customWidth="1"/>
    <col min="2064" max="2308" width="9.140625" style="3"/>
    <col min="2309" max="2309" width="37.5703125" style="3" customWidth="1"/>
    <col min="2310" max="2310" width="12.5703125" style="3" customWidth="1"/>
    <col min="2311" max="2319" width="13.42578125" style="3" customWidth="1"/>
    <col min="2320" max="2564" width="9.140625" style="3"/>
    <col min="2565" max="2565" width="37.5703125" style="3" customWidth="1"/>
    <col min="2566" max="2566" width="12.5703125" style="3" customWidth="1"/>
    <col min="2567" max="2575" width="13.42578125" style="3" customWidth="1"/>
    <col min="2576" max="2820" width="9.140625" style="3"/>
    <col min="2821" max="2821" width="37.5703125" style="3" customWidth="1"/>
    <col min="2822" max="2822" width="12.5703125" style="3" customWidth="1"/>
    <col min="2823" max="2831" width="13.42578125" style="3" customWidth="1"/>
    <col min="2832" max="3076" width="9.140625" style="3"/>
    <col min="3077" max="3077" width="37.5703125" style="3" customWidth="1"/>
    <col min="3078" max="3078" width="12.5703125" style="3" customWidth="1"/>
    <col min="3079" max="3087" width="13.42578125" style="3" customWidth="1"/>
    <col min="3088" max="3332" width="9.140625" style="3"/>
    <col min="3333" max="3333" width="37.5703125" style="3" customWidth="1"/>
    <col min="3334" max="3334" width="12.5703125" style="3" customWidth="1"/>
    <col min="3335" max="3343" width="13.42578125" style="3" customWidth="1"/>
    <col min="3344" max="3588" width="9.140625" style="3"/>
    <col min="3589" max="3589" width="37.5703125" style="3" customWidth="1"/>
    <col min="3590" max="3590" width="12.5703125" style="3" customWidth="1"/>
    <col min="3591" max="3599" width="13.42578125" style="3" customWidth="1"/>
    <col min="3600" max="3844" width="9.140625" style="3"/>
    <col min="3845" max="3845" width="37.5703125" style="3" customWidth="1"/>
    <col min="3846" max="3846" width="12.5703125" style="3" customWidth="1"/>
    <col min="3847" max="3855" width="13.42578125" style="3" customWidth="1"/>
    <col min="3856" max="4100" width="9.140625" style="3"/>
    <col min="4101" max="4101" width="37.5703125" style="3" customWidth="1"/>
    <col min="4102" max="4102" width="12.5703125" style="3" customWidth="1"/>
    <col min="4103" max="4111" width="13.42578125" style="3" customWidth="1"/>
    <col min="4112" max="4356" width="9.140625" style="3"/>
    <col min="4357" max="4357" width="37.5703125" style="3" customWidth="1"/>
    <col min="4358" max="4358" width="12.5703125" style="3" customWidth="1"/>
    <col min="4359" max="4367" width="13.42578125" style="3" customWidth="1"/>
    <col min="4368" max="4612" width="9.140625" style="3"/>
    <col min="4613" max="4613" width="37.5703125" style="3" customWidth="1"/>
    <col min="4614" max="4614" width="12.5703125" style="3" customWidth="1"/>
    <col min="4615" max="4623" width="13.42578125" style="3" customWidth="1"/>
    <col min="4624" max="4868" width="9.140625" style="3"/>
    <col min="4869" max="4869" width="37.5703125" style="3" customWidth="1"/>
    <col min="4870" max="4870" width="12.5703125" style="3" customWidth="1"/>
    <col min="4871" max="4879" width="13.42578125" style="3" customWidth="1"/>
    <col min="4880" max="5124" width="9.140625" style="3"/>
    <col min="5125" max="5125" width="37.5703125" style="3" customWidth="1"/>
    <col min="5126" max="5126" width="12.5703125" style="3" customWidth="1"/>
    <col min="5127" max="5135" width="13.42578125" style="3" customWidth="1"/>
    <col min="5136" max="5380" width="9.140625" style="3"/>
    <col min="5381" max="5381" width="37.5703125" style="3" customWidth="1"/>
    <col min="5382" max="5382" width="12.5703125" style="3" customWidth="1"/>
    <col min="5383" max="5391" width="13.42578125" style="3" customWidth="1"/>
    <col min="5392" max="5636" width="9.140625" style="3"/>
    <col min="5637" max="5637" width="37.5703125" style="3" customWidth="1"/>
    <col min="5638" max="5638" width="12.5703125" style="3" customWidth="1"/>
    <col min="5639" max="5647" width="13.42578125" style="3" customWidth="1"/>
    <col min="5648" max="5892" width="9.140625" style="3"/>
    <col min="5893" max="5893" width="37.5703125" style="3" customWidth="1"/>
    <col min="5894" max="5894" width="12.5703125" style="3" customWidth="1"/>
    <col min="5895" max="5903" width="13.42578125" style="3" customWidth="1"/>
    <col min="5904" max="6148" width="9.140625" style="3"/>
    <col min="6149" max="6149" width="37.5703125" style="3" customWidth="1"/>
    <col min="6150" max="6150" width="12.5703125" style="3" customWidth="1"/>
    <col min="6151" max="6159" width="13.42578125" style="3" customWidth="1"/>
    <col min="6160" max="6404" width="9.140625" style="3"/>
    <col min="6405" max="6405" width="37.5703125" style="3" customWidth="1"/>
    <col min="6406" max="6406" width="12.5703125" style="3" customWidth="1"/>
    <col min="6407" max="6415" width="13.42578125" style="3" customWidth="1"/>
    <col min="6416" max="6660" width="9.140625" style="3"/>
    <col min="6661" max="6661" width="37.5703125" style="3" customWidth="1"/>
    <col min="6662" max="6662" width="12.5703125" style="3" customWidth="1"/>
    <col min="6663" max="6671" width="13.42578125" style="3" customWidth="1"/>
    <col min="6672" max="6916" width="9.140625" style="3"/>
    <col min="6917" max="6917" width="37.5703125" style="3" customWidth="1"/>
    <col min="6918" max="6918" width="12.5703125" style="3" customWidth="1"/>
    <col min="6919" max="6927" width="13.42578125" style="3" customWidth="1"/>
    <col min="6928" max="7172" width="9.140625" style="3"/>
    <col min="7173" max="7173" width="37.5703125" style="3" customWidth="1"/>
    <col min="7174" max="7174" width="12.5703125" style="3" customWidth="1"/>
    <col min="7175" max="7183" width="13.42578125" style="3" customWidth="1"/>
    <col min="7184" max="7428" width="9.140625" style="3"/>
    <col min="7429" max="7429" width="37.5703125" style="3" customWidth="1"/>
    <col min="7430" max="7430" width="12.5703125" style="3" customWidth="1"/>
    <col min="7431" max="7439" width="13.42578125" style="3" customWidth="1"/>
    <col min="7440" max="7684" width="9.140625" style="3"/>
    <col min="7685" max="7685" width="37.5703125" style="3" customWidth="1"/>
    <col min="7686" max="7686" width="12.5703125" style="3" customWidth="1"/>
    <col min="7687" max="7695" width="13.42578125" style="3" customWidth="1"/>
    <col min="7696" max="7940" width="9.140625" style="3"/>
    <col min="7941" max="7941" width="37.5703125" style="3" customWidth="1"/>
    <col min="7942" max="7942" width="12.5703125" style="3" customWidth="1"/>
    <col min="7943" max="7951" width="13.42578125" style="3" customWidth="1"/>
    <col min="7952" max="8196" width="9.140625" style="3"/>
    <col min="8197" max="8197" width="37.5703125" style="3" customWidth="1"/>
    <col min="8198" max="8198" width="12.5703125" style="3" customWidth="1"/>
    <col min="8199" max="8207" width="13.42578125" style="3" customWidth="1"/>
    <col min="8208" max="8452" width="9.140625" style="3"/>
    <col min="8453" max="8453" width="37.5703125" style="3" customWidth="1"/>
    <col min="8454" max="8454" width="12.5703125" style="3" customWidth="1"/>
    <col min="8455" max="8463" width="13.42578125" style="3" customWidth="1"/>
    <col min="8464" max="8708" width="9.140625" style="3"/>
    <col min="8709" max="8709" width="37.5703125" style="3" customWidth="1"/>
    <col min="8710" max="8710" width="12.5703125" style="3" customWidth="1"/>
    <col min="8711" max="8719" width="13.42578125" style="3" customWidth="1"/>
    <col min="8720" max="8964" width="9.140625" style="3"/>
    <col min="8965" max="8965" width="37.5703125" style="3" customWidth="1"/>
    <col min="8966" max="8966" width="12.5703125" style="3" customWidth="1"/>
    <col min="8967" max="8975" width="13.42578125" style="3" customWidth="1"/>
    <col min="8976" max="9220" width="9.140625" style="3"/>
    <col min="9221" max="9221" width="37.5703125" style="3" customWidth="1"/>
    <col min="9222" max="9222" width="12.5703125" style="3" customWidth="1"/>
    <col min="9223" max="9231" width="13.42578125" style="3" customWidth="1"/>
    <col min="9232" max="9476" width="9.140625" style="3"/>
    <col min="9477" max="9477" width="37.5703125" style="3" customWidth="1"/>
    <col min="9478" max="9478" width="12.5703125" style="3" customWidth="1"/>
    <col min="9479" max="9487" width="13.42578125" style="3" customWidth="1"/>
    <col min="9488" max="9732" width="9.140625" style="3"/>
    <col min="9733" max="9733" width="37.5703125" style="3" customWidth="1"/>
    <col min="9734" max="9734" width="12.5703125" style="3" customWidth="1"/>
    <col min="9735" max="9743" width="13.42578125" style="3" customWidth="1"/>
    <col min="9744" max="9988" width="9.140625" style="3"/>
    <col min="9989" max="9989" width="37.5703125" style="3" customWidth="1"/>
    <col min="9990" max="9990" width="12.5703125" style="3" customWidth="1"/>
    <col min="9991" max="9999" width="13.42578125" style="3" customWidth="1"/>
    <col min="10000" max="10244" width="9.140625" style="3"/>
    <col min="10245" max="10245" width="37.5703125" style="3" customWidth="1"/>
    <col min="10246" max="10246" width="12.5703125" style="3" customWidth="1"/>
    <col min="10247" max="10255" width="13.42578125" style="3" customWidth="1"/>
    <col min="10256" max="10500" width="9.140625" style="3"/>
    <col min="10501" max="10501" width="37.5703125" style="3" customWidth="1"/>
    <col min="10502" max="10502" width="12.5703125" style="3" customWidth="1"/>
    <col min="10503" max="10511" width="13.42578125" style="3" customWidth="1"/>
    <col min="10512" max="10756" width="9.140625" style="3"/>
    <col min="10757" max="10757" width="37.5703125" style="3" customWidth="1"/>
    <col min="10758" max="10758" width="12.5703125" style="3" customWidth="1"/>
    <col min="10759" max="10767" width="13.42578125" style="3" customWidth="1"/>
    <col min="10768" max="11012" width="9.140625" style="3"/>
    <col min="11013" max="11013" width="37.5703125" style="3" customWidth="1"/>
    <col min="11014" max="11014" width="12.5703125" style="3" customWidth="1"/>
    <col min="11015" max="11023" width="13.42578125" style="3" customWidth="1"/>
    <col min="11024" max="11268" width="9.140625" style="3"/>
    <col min="11269" max="11269" width="37.5703125" style="3" customWidth="1"/>
    <col min="11270" max="11270" width="12.5703125" style="3" customWidth="1"/>
    <col min="11271" max="11279" width="13.42578125" style="3" customWidth="1"/>
    <col min="11280" max="11524" width="9.140625" style="3"/>
    <col min="11525" max="11525" width="37.5703125" style="3" customWidth="1"/>
    <col min="11526" max="11526" width="12.5703125" style="3" customWidth="1"/>
    <col min="11527" max="11535" width="13.42578125" style="3" customWidth="1"/>
    <col min="11536" max="11780" width="9.140625" style="3"/>
    <col min="11781" max="11781" width="37.5703125" style="3" customWidth="1"/>
    <col min="11782" max="11782" width="12.5703125" style="3" customWidth="1"/>
    <col min="11783" max="11791" width="13.42578125" style="3" customWidth="1"/>
    <col min="11792" max="12036" width="9.140625" style="3"/>
    <col min="12037" max="12037" width="37.5703125" style="3" customWidth="1"/>
    <col min="12038" max="12038" width="12.5703125" style="3" customWidth="1"/>
    <col min="12039" max="12047" width="13.42578125" style="3" customWidth="1"/>
    <col min="12048" max="12292" width="9.140625" style="3"/>
    <col min="12293" max="12293" width="37.5703125" style="3" customWidth="1"/>
    <col min="12294" max="12294" width="12.5703125" style="3" customWidth="1"/>
    <col min="12295" max="12303" width="13.42578125" style="3" customWidth="1"/>
    <col min="12304" max="12548" width="9.140625" style="3"/>
    <col min="12549" max="12549" width="37.5703125" style="3" customWidth="1"/>
    <col min="12550" max="12550" width="12.5703125" style="3" customWidth="1"/>
    <col min="12551" max="12559" width="13.42578125" style="3" customWidth="1"/>
    <col min="12560" max="12804" width="9.140625" style="3"/>
    <col min="12805" max="12805" width="37.5703125" style="3" customWidth="1"/>
    <col min="12806" max="12806" width="12.5703125" style="3" customWidth="1"/>
    <col min="12807" max="12815" width="13.42578125" style="3" customWidth="1"/>
    <col min="12816" max="13060" width="9.140625" style="3"/>
    <col min="13061" max="13061" width="37.5703125" style="3" customWidth="1"/>
    <col min="13062" max="13062" width="12.5703125" style="3" customWidth="1"/>
    <col min="13063" max="13071" width="13.42578125" style="3" customWidth="1"/>
    <col min="13072" max="13316" width="9.140625" style="3"/>
    <col min="13317" max="13317" width="37.5703125" style="3" customWidth="1"/>
    <col min="13318" max="13318" width="12.5703125" style="3" customWidth="1"/>
    <col min="13319" max="13327" width="13.42578125" style="3" customWidth="1"/>
    <col min="13328" max="13572" width="9.140625" style="3"/>
    <col min="13573" max="13573" width="37.5703125" style="3" customWidth="1"/>
    <col min="13574" max="13574" width="12.5703125" style="3" customWidth="1"/>
    <col min="13575" max="13583" width="13.42578125" style="3" customWidth="1"/>
    <col min="13584" max="13828" width="9.140625" style="3"/>
    <col min="13829" max="13829" width="37.5703125" style="3" customWidth="1"/>
    <col min="13830" max="13830" width="12.5703125" style="3" customWidth="1"/>
    <col min="13831" max="13839" width="13.42578125" style="3" customWidth="1"/>
    <col min="13840" max="14084" width="9.140625" style="3"/>
    <col min="14085" max="14085" width="37.5703125" style="3" customWidth="1"/>
    <col min="14086" max="14086" width="12.5703125" style="3" customWidth="1"/>
    <col min="14087" max="14095" width="13.42578125" style="3" customWidth="1"/>
    <col min="14096" max="14340" width="9.140625" style="3"/>
    <col min="14341" max="14341" width="37.5703125" style="3" customWidth="1"/>
    <col min="14342" max="14342" width="12.5703125" style="3" customWidth="1"/>
    <col min="14343" max="14351" width="13.42578125" style="3" customWidth="1"/>
    <col min="14352" max="14596" width="9.140625" style="3"/>
    <col min="14597" max="14597" width="37.5703125" style="3" customWidth="1"/>
    <col min="14598" max="14598" width="12.5703125" style="3" customWidth="1"/>
    <col min="14599" max="14607" width="13.42578125" style="3" customWidth="1"/>
    <col min="14608" max="14852" width="9.140625" style="3"/>
    <col min="14853" max="14853" width="37.5703125" style="3" customWidth="1"/>
    <col min="14854" max="14854" width="12.5703125" style="3" customWidth="1"/>
    <col min="14855" max="14863" width="13.42578125" style="3" customWidth="1"/>
    <col min="14864" max="15108" width="9.140625" style="3"/>
    <col min="15109" max="15109" width="37.5703125" style="3" customWidth="1"/>
    <col min="15110" max="15110" width="12.5703125" style="3" customWidth="1"/>
    <col min="15111" max="15119" width="13.42578125" style="3" customWidth="1"/>
    <col min="15120" max="15364" width="9.140625" style="3"/>
    <col min="15365" max="15365" width="37.5703125" style="3" customWidth="1"/>
    <col min="15366" max="15366" width="12.5703125" style="3" customWidth="1"/>
    <col min="15367" max="15375" width="13.42578125" style="3" customWidth="1"/>
    <col min="15376" max="15620" width="9.140625" style="3"/>
    <col min="15621" max="15621" width="37.5703125" style="3" customWidth="1"/>
    <col min="15622" max="15622" width="12.5703125" style="3" customWidth="1"/>
    <col min="15623" max="15631" width="13.42578125" style="3" customWidth="1"/>
    <col min="15632" max="15876" width="9.140625" style="3"/>
    <col min="15877" max="15877" width="37.5703125" style="3" customWidth="1"/>
    <col min="15878" max="15878" width="12.5703125" style="3" customWidth="1"/>
    <col min="15879" max="15887" width="13.42578125" style="3" customWidth="1"/>
    <col min="15888" max="16132" width="9.140625" style="3"/>
    <col min="16133" max="16133" width="37.5703125" style="3" customWidth="1"/>
    <col min="16134" max="16134" width="12.5703125" style="3" customWidth="1"/>
    <col min="16135" max="16143" width="13.42578125" style="3" customWidth="1"/>
    <col min="16144" max="16384" width="9.140625" style="3"/>
  </cols>
  <sheetData>
    <row r="1" spans="1:27" ht="32.25">
      <c r="A1" s="1"/>
      <c r="B1" s="2"/>
      <c r="C1" s="2"/>
      <c r="E1" s="1" t="s">
        <v>119</v>
      </c>
      <c r="F1" s="2"/>
      <c r="G1" s="2"/>
      <c r="H1" s="2"/>
      <c r="I1" s="2"/>
      <c r="J1" s="2"/>
      <c r="K1" s="2"/>
      <c r="L1" s="2"/>
      <c r="M1" s="2"/>
      <c r="N1" s="2"/>
      <c r="O1" s="2"/>
      <c r="P1" s="2"/>
      <c r="Q1" s="2"/>
      <c r="R1" s="2"/>
      <c r="S1" s="2"/>
      <c r="T1" s="2"/>
      <c r="U1" s="2"/>
      <c r="V1" s="2"/>
      <c r="W1" s="2"/>
      <c r="X1" s="2"/>
      <c r="Y1" s="2"/>
      <c r="Z1" s="2"/>
      <c r="AA1" s="2"/>
    </row>
    <row r="2" spans="1:27" ht="23.25">
      <c r="A2" s="27" t="s">
        <v>15</v>
      </c>
      <c r="B2" s="2"/>
      <c r="C2" s="2"/>
      <c r="E2" s="332" t="s">
        <v>700</v>
      </c>
      <c r="F2" s="2"/>
      <c r="G2" s="2"/>
      <c r="H2" s="2"/>
      <c r="I2" s="2"/>
      <c r="J2" s="2"/>
      <c r="K2" s="2"/>
      <c r="L2" s="2"/>
      <c r="M2" s="2"/>
      <c r="N2" s="2"/>
      <c r="O2" s="2"/>
      <c r="P2" s="2"/>
      <c r="Q2" s="2"/>
      <c r="R2" s="2"/>
      <c r="S2" s="2"/>
      <c r="T2" s="2"/>
      <c r="U2" s="2"/>
      <c r="V2" s="2"/>
      <c r="W2" s="2"/>
      <c r="X2" s="2"/>
      <c r="Y2" s="2"/>
      <c r="Z2" s="2"/>
      <c r="AA2" s="2"/>
    </row>
    <row r="3" spans="1:27" s="34" customFormat="1" ht="21" thickBot="1">
      <c r="A3" s="46" t="s">
        <v>74</v>
      </c>
      <c r="B3" s="32"/>
      <c r="C3" s="32"/>
      <c r="E3" s="28"/>
      <c r="F3" s="29"/>
      <c r="G3" s="29"/>
      <c r="H3" s="29"/>
      <c r="I3" s="29"/>
      <c r="J3" s="29"/>
      <c r="K3" s="29"/>
      <c r="L3" s="29"/>
      <c r="M3" s="29"/>
      <c r="N3" s="29"/>
      <c r="O3" s="29"/>
      <c r="P3" s="29"/>
      <c r="Q3" s="29"/>
      <c r="R3" s="29"/>
      <c r="S3" s="29"/>
      <c r="T3" s="29"/>
      <c r="U3" s="29"/>
      <c r="V3" s="29"/>
      <c r="W3" s="29"/>
      <c r="X3" s="29"/>
      <c r="Y3" s="29"/>
      <c r="Z3" s="29"/>
      <c r="AA3" s="29"/>
    </row>
    <row r="4" spans="1:27">
      <c r="A4" s="256" t="s">
        <v>694</v>
      </c>
      <c r="B4"/>
      <c r="C4" s="117">
        <f>HLOOKUP($C$12,Assumptions!$B$6:$D$8,3,FALSE)</f>
        <v>1</v>
      </c>
      <c r="E4" s="238" t="s">
        <v>122</v>
      </c>
      <c r="F4" s="225">
        <v>0</v>
      </c>
      <c r="G4" s="225">
        <v>1</v>
      </c>
      <c r="H4" s="225">
        <v>2</v>
      </c>
      <c r="I4" s="225">
        <v>3</v>
      </c>
      <c r="J4" s="225">
        <v>4</v>
      </c>
      <c r="K4" s="225">
        <v>5</v>
      </c>
      <c r="L4" s="225">
        <v>6</v>
      </c>
      <c r="M4" s="225">
        <v>7</v>
      </c>
      <c r="N4" s="225">
        <v>8</v>
      </c>
      <c r="O4" s="225">
        <v>9</v>
      </c>
      <c r="P4" s="225">
        <v>10</v>
      </c>
      <c r="Q4" s="225">
        <v>11</v>
      </c>
      <c r="R4" s="225">
        <v>12</v>
      </c>
      <c r="S4" s="225">
        <v>13</v>
      </c>
      <c r="T4" s="225">
        <v>14</v>
      </c>
      <c r="U4" s="225">
        <v>15</v>
      </c>
      <c r="V4" s="225">
        <v>16</v>
      </c>
      <c r="W4" s="225">
        <v>17</v>
      </c>
      <c r="X4" s="225">
        <v>18</v>
      </c>
      <c r="Y4" s="225">
        <v>19</v>
      </c>
      <c r="Z4" s="225">
        <v>20</v>
      </c>
      <c r="AA4" s="225">
        <v>21</v>
      </c>
    </row>
    <row r="5" spans="1:27" ht="15.75" thickBot="1">
      <c r="A5" s="256" t="s">
        <v>695</v>
      </c>
      <c r="B5"/>
      <c r="C5" s="117">
        <v>0</v>
      </c>
      <c r="E5" s="31"/>
      <c r="F5" s="432">
        <v>2022</v>
      </c>
      <c r="G5" s="432">
        <v>2023</v>
      </c>
      <c r="H5" s="432">
        <v>2024</v>
      </c>
      <c r="I5" s="432">
        <v>2025</v>
      </c>
      <c r="J5" s="432">
        <v>2026</v>
      </c>
      <c r="K5" s="432">
        <v>2027</v>
      </c>
      <c r="L5" s="432">
        <v>2028</v>
      </c>
      <c r="M5" s="432">
        <v>2029</v>
      </c>
      <c r="N5" s="432">
        <v>2030</v>
      </c>
      <c r="O5" s="432">
        <v>2031</v>
      </c>
      <c r="P5" s="432">
        <v>2032</v>
      </c>
      <c r="Q5" s="432">
        <v>2033</v>
      </c>
      <c r="R5" s="432">
        <v>2034</v>
      </c>
      <c r="S5" s="432">
        <v>2035</v>
      </c>
      <c r="T5" s="432">
        <v>2036</v>
      </c>
      <c r="U5" s="432">
        <v>2037</v>
      </c>
      <c r="V5" s="432">
        <v>2038</v>
      </c>
      <c r="W5" s="432">
        <v>2039</v>
      </c>
      <c r="X5" s="432">
        <v>2040</v>
      </c>
      <c r="Y5" s="432">
        <v>2041</v>
      </c>
      <c r="Z5" s="432">
        <v>2042</v>
      </c>
      <c r="AA5" s="432">
        <v>2043</v>
      </c>
    </row>
    <row r="6" spans="1:27">
      <c r="A6" s="29"/>
      <c r="B6"/>
      <c r="C6" s="117"/>
      <c r="E6" s="250" t="s">
        <v>328</v>
      </c>
      <c r="F6" s="428">
        <f ca="1">-'Master Tab'!$F$6</f>
        <v>-1727883.0761538462</v>
      </c>
      <c r="G6" s="428"/>
      <c r="H6" s="428"/>
      <c r="I6" s="428"/>
      <c r="J6" s="428"/>
      <c r="K6" s="428"/>
      <c r="L6" s="428"/>
      <c r="M6" s="428"/>
      <c r="N6" s="428"/>
      <c r="O6" s="428"/>
      <c r="P6" s="428"/>
      <c r="Q6" s="428"/>
      <c r="R6" s="428"/>
      <c r="S6" s="428"/>
      <c r="T6" s="428"/>
      <c r="U6" s="428"/>
      <c r="V6" s="428"/>
      <c r="W6" s="428"/>
      <c r="X6" s="428"/>
      <c r="Y6" s="428"/>
      <c r="Z6" s="428"/>
      <c r="AA6" s="428"/>
    </row>
    <row r="7" spans="1:27">
      <c r="A7" s="256" t="s">
        <v>223</v>
      </c>
      <c r="B7" s="295"/>
      <c r="C7" s="117"/>
      <c r="E7" s="250" t="s">
        <v>327</v>
      </c>
      <c r="F7" s="429"/>
      <c r="G7" s="428">
        <f ca="1">IF(G$4&lt;=$C$20,'Master Tab'!$I$21*(1+$C$23)^G$4,0)</f>
        <v>305592.99133774114</v>
      </c>
      <c r="H7" s="428">
        <f ca="1">IF(H$4&lt;=$C$20,'Master Tab'!$I$21*(1+$C$23)^H$4,0)</f>
        <v>312432.45352482388</v>
      </c>
      <c r="I7" s="428">
        <f ca="1">IF(I$4&lt;=$C$20,'Master Tab'!$I$21*(1+$C$23)^I$4,0)</f>
        <v>319424.98938942712</v>
      </c>
      <c r="J7" s="428">
        <f ca="1">IF(J$4&lt;=$C$20,'Master Tab'!$I$21*(1+$C$23)^J$4,0)</f>
        <v>326574.024866238</v>
      </c>
      <c r="K7" s="428">
        <f ca="1">IF(K$4&lt;=$C$20,'Master Tab'!$I$21*(1+$C$23)^K$4,0)</f>
        <v>333883.06256562524</v>
      </c>
      <c r="L7" s="428">
        <f ca="1">IF(L$4&lt;=$C$20,'Master Tab'!$I$21*(1+$C$23)^L$4,0)</f>
        <v>341355.68348971306</v>
      </c>
      <c r="M7" s="428">
        <f ca="1">IF(M$4&lt;=$C$20,'Master Tab'!$I$21*(1+$C$23)^M$4,0)</f>
        <v>348995.5487868638</v>
      </c>
      <c r="N7" s="428">
        <f ca="1">IF(N$4&lt;=$C$20,'Master Tab'!$I$21*(1+$C$23)^N$4,0)</f>
        <v>356806.40154542687</v>
      </c>
      <c r="O7" s="428">
        <f ca="1">IF(O$4&lt;=$C$20,'Master Tab'!$I$21*(1+$C$23)^O$4,0)</f>
        <v>364792.06862763403</v>
      </c>
      <c r="P7" s="428">
        <f ca="1">IF(P$4&lt;=$C$20,'Master Tab'!$I$21*(1+$C$23)^P$4,0)</f>
        <v>372956.4625445382</v>
      </c>
      <c r="Q7" s="428">
        <f ca="1">IF(Q$4&lt;=$C$20,'Master Tab'!$I$21*(1+$C$23)^Q$4,0)</f>
        <v>381303.58337291592</v>
      </c>
      <c r="R7" s="428">
        <f ca="1">IF(R$4&lt;=$C$20,'Master Tab'!$I$21*(1+$C$23)^R$4,0)</f>
        <v>389837.52071507165</v>
      </c>
      <c r="S7" s="428">
        <f ca="1">IF(S$4&lt;=$C$20,'Master Tab'!$I$21*(1+$C$23)^S$4,0)</f>
        <v>398562.45570250414</v>
      </c>
      <c r="T7" s="428">
        <f ca="1">IF(T$4&lt;=$C$20,'Master Tab'!$I$21*(1+$C$23)^T$4,0)</f>
        <v>407482.66304441734</v>
      </c>
      <c r="U7" s="428">
        <f ca="1">IF(U$4&lt;=$C$20,'Master Tab'!$I$21*(1+$C$23)^U$4,0)</f>
        <v>416602.51312207815</v>
      </c>
      <c r="V7" s="428">
        <f>IF(V$4&lt;=$C$20,'Master Tab'!$I$21*(1+$C$23)^V$4,0)</f>
        <v>0</v>
      </c>
      <c r="W7" s="428">
        <f>IF(W$4&lt;=$C$20,'Master Tab'!$I$21*(1+$C$23)^W$4,0)</f>
        <v>0</v>
      </c>
      <c r="X7" s="428">
        <f>IF(X$4&lt;=$C$20,'Master Tab'!$I$21*(1+$C$23)^X$4,0)</f>
        <v>0</v>
      </c>
      <c r="Y7" s="428">
        <f>IF(Y$4&lt;=$C$20,'Master Tab'!$I$21*(1+$C$23)^Y$4,0)</f>
        <v>0</v>
      </c>
      <c r="Z7" s="428">
        <f>IF(Z$4&lt;=$C$20,'Master Tab'!$I$21*(1+$C$23)^Z$4,0)</f>
        <v>0</v>
      </c>
      <c r="AA7" s="428">
        <f>IF(AA$4&lt;=$C$20,'Master Tab'!$I$21*(1+$C$23)^AA$4,0)</f>
        <v>0</v>
      </c>
    </row>
    <row r="8" spans="1:27">
      <c r="A8" s="256" t="s">
        <v>673</v>
      </c>
      <c r="B8"/>
      <c r="C8" s="64">
        <f>INDEX(Assumptions!$A$6:$D$54,MATCH(A8,Assumptions!$A$6:$A$54,0),MATCH($C$12,Assumptions!$A$6:$D$6,0))</f>
        <v>0</v>
      </c>
      <c r="E8" s="237" t="s">
        <v>640</v>
      </c>
      <c r="F8" s="429"/>
      <c r="G8" s="428">
        <f ca="1">IF(G$4&lt;=$C$20,-'Master Tab'!$F$11*(1+$C$23)^G4,0)</f>
        <v>264646.58105116308</v>
      </c>
      <c r="H8" s="428">
        <f ca="1">IF(H$4&lt;=$C$20,-'Master Tab'!$F$11*(1+$C$23)^H$4,0)</f>
        <v>270569.623579451</v>
      </c>
      <c r="I8" s="428">
        <f ca="1">IF(I$4&lt;=$C$20,-'Master Tab'!$F$11*(1+$C$23)^I$4,0)</f>
        <v>276625.22944051493</v>
      </c>
      <c r="J8" s="428">
        <f ca="1">IF(J$4&lt;=$C$20,-'Master Tab'!$F$11*(1+$C$23)^J$4,0)</f>
        <v>282816.36552799307</v>
      </c>
      <c r="K8" s="428">
        <f ca="1">IF(K$4&lt;=$C$20,-'Master Tab'!$F$11*(1+$C$23)^K$4,0)</f>
        <v>289146.0651374291</v>
      </c>
      <c r="L8" s="428">
        <f ca="1">IF(L$4&lt;=$C$20,-'Master Tab'!$F$11*(1+$C$23)^L$4,0)</f>
        <v>295617.42945240968</v>
      </c>
      <c r="M8" s="428">
        <f ca="1">IF(M$4&lt;=$C$20,-'Master Tab'!$F$11*(1+$C$23)^M$4,0)</f>
        <v>302233.6290639636</v>
      </c>
      <c r="N8" s="428">
        <f ca="1">IF(N$4&lt;=$C$20,-'Master Tab'!$F$11*(1+$C$23)^N$4,0)</f>
        <v>308997.90552396653</v>
      </c>
      <c r="O8" s="428">
        <f ca="1">IF(O$4&lt;=$C$20,-'Master Tab'!$F$11*(1+$C$23)^O$4,0)</f>
        <v>315913.57293331245</v>
      </c>
      <c r="P8" s="428">
        <f ca="1">IF(P$4&lt;=$C$20,-'Master Tab'!$F$11*(1+$C$23)^P$4,0)</f>
        <v>322984.01956562942</v>
      </c>
      <c r="Q8" s="428">
        <f ca="1">IF(Q$4&lt;=$C$20,-'Master Tab'!$F$11*(1+$C$23)^Q$4,0)</f>
        <v>330212.70952733641</v>
      </c>
      <c r="R8" s="428">
        <f ca="1">IF(R$4&lt;=$C$20,-'Master Tab'!$F$11*(1+$C$23)^R$4,0)</f>
        <v>337603.18445485289</v>
      </c>
      <c r="S8" s="428">
        <f ca="1">IF(S$4&lt;=$C$20,-'Master Tab'!$F$11*(1+$C$23)^S$4,0)</f>
        <v>345159.06524979486</v>
      </c>
      <c r="T8" s="428">
        <f ca="1">IF(T$4&lt;=$C$20,-'Master Tab'!$F$11*(1+$C$23)^T$4,0)</f>
        <v>352884.05385300453</v>
      </c>
      <c r="U8" s="428">
        <f ca="1">IF(U$4&lt;=$C$20,-'Master Tab'!$F$11*(1+$C$23)^U$4,0)</f>
        <v>360781.93505828606</v>
      </c>
      <c r="V8" s="428">
        <f>IF(V$4&lt;=$C$20,-'Master Tab'!$F$11*(1+$C$23)^V$4,0)</f>
        <v>0</v>
      </c>
      <c r="W8" s="428">
        <f>IF(W$4&lt;=$C$20,-'Master Tab'!$F$11*(1+$C$23)^W$4,0)</f>
        <v>0</v>
      </c>
      <c r="X8" s="428">
        <f>IF(X$4&lt;=$C$20,-'Master Tab'!$F$11*(1+$C$23)^X$4,0)</f>
        <v>0</v>
      </c>
      <c r="Y8" s="428">
        <f>IF(Y$4&lt;=$C$20,-'Master Tab'!$F$11*(1+$C$23)^Y$4,0)</f>
        <v>0</v>
      </c>
      <c r="Z8" s="428">
        <f>IF(Z$4&lt;=$C$20,-'Master Tab'!$F$11*(1+$C$23)^Z$4,0)</f>
        <v>0</v>
      </c>
      <c r="AA8" s="428">
        <f>IF(AA$4&lt;=$C$20,-'Master Tab'!$F$11*(1+$C$23)^AA$4,0)</f>
        <v>0</v>
      </c>
    </row>
    <row r="9" spans="1:27">
      <c r="A9" s="256" t="s">
        <v>672</v>
      </c>
      <c r="B9"/>
      <c r="C9" s="64">
        <f>INDEX(Assumptions!$A$6:$D$54,MATCH(A9,Assumptions!$A$6:$A$54,0),MATCH($C$12,Assumptions!$A$6:$D$6,0))</f>
        <v>68</v>
      </c>
      <c r="E9" s="237" t="s">
        <v>755</v>
      </c>
      <c r="F9" s="429"/>
      <c r="G9" s="428">
        <f>IF(G$4&lt;=$C$20,IF(AND($C$12="Worst Case",G4&gt;1,0),0,-'Master Tab'!$F$10*(1+$C$27)^G$4),0)</f>
        <v>-116644.41904761906</v>
      </c>
      <c r="H9" s="428">
        <f>IF(H$4&lt;=$C$20,IF(AND($C$12="Worst Case",H4&gt;1),0,-'Master Tab'!$F$10*(1+$C$27)^H$4),0)</f>
        <v>-118932.87145941042</v>
      </c>
      <c r="I9" s="428">
        <f>IF(I$4&lt;=$C$20,IF(AND($C$12="Worst Case",I4&gt;1),0,-'Master Tab'!$F$10*(1+$C$27)^I$4),0)</f>
        <v>-121266.22112804267</v>
      </c>
      <c r="J9" s="428">
        <f>IF(J$4&lt;=$C$20,IF(AND($C$12="Worst Case",J4&gt;1),0,-'Master Tab'!$F$10*(1+$C$27)^J$4),0)</f>
        <v>-123645.34889493568</v>
      </c>
      <c r="K9" s="428">
        <f>IF(K$4&lt;=$C$20,IF(AND($C$12="Worst Case",K4&gt;1),0,-'Master Tab'!$F$10*(1+$C$27)^K$4),0)</f>
        <v>-126071.15288277919</v>
      </c>
      <c r="L9" s="428">
        <f>IF(L$4&lt;=$C$20,IF(AND($C$12="Worst Case",L4&gt;1),0,-'Master Tab'!$F$10*(1+$C$27)^L$4),0)</f>
        <v>-128544.54883457464</v>
      </c>
      <c r="M9" s="428">
        <f>IF(M$4&lt;=$C$20,IF(AND($C$12="Worst Case",M4&gt;1),0,-'Master Tab'!$F$10*(1+$C$27)^M$4),0)</f>
        <v>-131066.47045932918</v>
      </c>
      <c r="N9" s="428">
        <f>IF(N$4&lt;=$C$20,IF(AND($C$12="Worst Case",N4&gt;1),0,-'Master Tab'!$F$10*(1+$C$27)^N$4),0)</f>
        <v>-133637.86978453124</v>
      </c>
      <c r="O9" s="428">
        <f>IF(O$4&lt;=$C$20,IF(AND($C$12="Worst Case",O4&gt;1),0,-'Master Tab'!$F$10*(1+$C$27)^O$4),0)</f>
        <v>-136259.71751554203</v>
      </c>
      <c r="P9" s="428">
        <f>IF(P$4&lt;=$C$20,IF(AND($C$12="Worst Case",P4&gt;1),0,-'Master Tab'!$F$10*(1+$C$27)^P$4),0)</f>
        <v>-138933.00340203743</v>
      </c>
      <c r="Q9" s="428">
        <f>IF(Q$4&lt;=$C$20,IF(AND($C$12="Worst Case",Q4&gt;1),0,-'Master Tab'!$F$10*(1+$C$27)^Q$4),0)</f>
        <v>-141658.73661163932</v>
      </c>
      <c r="R9" s="428">
        <f>IF(R$4&lt;=$C$20,IF(AND($C$12="Worst Case",R4&gt;1),0,-'Master Tab'!$F$10*(1+$C$27)^R$4),0)</f>
        <v>-144437.94611087715</v>
      </c>
      <c r="S9" s="428">
        <f>IF(S$4&lt;=$C$20,IF(AND($C$12="Worst Case",S4&gt;1),0,-'Master Tab'!$F$10*(1+$C$27)^S$4),0)</f>
        <v>-147271.68105362391</v>
      </c>
      <c r="T9" s="428">
        <f>IF(T$4&lt;=$C$20,IF(AND($C$12="Worst Case",T4&gt;1),0,-'Master Tab'!$F$10*(1+$C$27)^T$4),0)</f>
        <v>-150161.01117715213</v>
      </c>
      <c r="U9" s="428">
        <f>IF(U$4&lt;=$C$20,IF(AND($C$12="Worst Case",U4&gt;1),0,-'Master Tab'!$F$10*(1+$C$27)^U$4),0)</f>
        <v>-153107.02720596106</v>
      </c>
      <c r="V9" s="428">
        <f>IF(V$4&lt;=$C$20,IF(AND($C$12="Worst Case",V4&gt;1),0,-'Master Tab'!$F$10*(1+$C$27)^V$4),0)</f>
        <v>0</v>
      </c>
      <c r="W9" s="428">
        <f>IF(W$4&lt;=$C$20,IF(AND($C$12="Worst Case",W4&gt;1),0,-'Master Tab'!$F$10*(1+$C$27)^W$4),0)</f>
        <v>0</v>
      </c>
      <c r="X9" s="428">
        <f>IF(X$4&lt;=$C$20,IF(AND($C$12="Worst Case",X4&gt;1),0,-'Master Tab'!$F$10*(1+$C$27)^X$4),0)</f>
        <v>0</v>
      </c>
      <c r="Y9" s="428">
        <f>IF(Y$4&lt;=$C$20,IF(AND($C$12="Worst Case",Y4&gt;1),0,-'Master Tab'!$F$10*(1+$C$27)^Y$4),0)</f>
        <v>0</v>
      </c>
      <c r="Z9" s="428">
        <f>IF(Z$4&lt;=$C$20,IF(AND($C$12="Worst Case",Z4&gt;1),0,-'Master Tab'!$F$10*(1+$C$27)^Z$4),0)</f>
        <v>0</v>
      </c>
      <c r="AA9" s="428">
        <f>IF(AA$4&lt;=$C$20,IF(AND($C$12="Worst Case",AA4&gt;1),0,-'Master Tab'!$F$10*(1+$C$27)^AA$4),0)</f>
        <v>0</v>
      </c>
    </row>
    <row r="10" spans="1:27">
      <c r="A10" s="397"/>
      <c r="B10"/>
      <c r="C10" s="64"/>
      <c r="E10" s="237" t="s">
        <v>1</v>
      </c>
      <c r="F10" s="429"/>
      <c r="G10" s="428">
        <f ca="1">IF(G$4&lt;=$C$20,(-'Master Tab'!$F$7-IF(MOD(G4,Maintenance!$B$60)=0,Maintenance!$H$38,0))*(1+$C$26)^G$4,0)</f>
        <v>-6368.0219801033672</v>
      </c>
      <c r="H10" s="428">
        <f ca="1">IF(H$4&lt;=$C$20,(-'Master Tab'!$F$7-IF(MOD(H4,Maintenance!$B$60)=0,Maintenance!$H$38,0))*(1+$C$26)^H$4,0)</f>
        <v>-6450.3547273005697</v>
      </c>
      <c r="I10" s="428">
        <f ca="1">IF(I$4&lt;=$C$20,(-'Master Tab'!$F$7-IF(MOD(I4,Maintenance!$B$60)=0,Maintenance!$H$38,0))*(1+$C$26)^I$4,0)</f>
        <v>-6533.7519622275922</v>
      </c>
      <c r="J10" s="428">
        <f ca="1">IF(J$4&lt;=$C$20,(-'Master Tab'!$F$7-IF(MOD(J4,Maintenance!$B$60)=0,Maintenance!$H$38,0))*(1+$C$26)^J$4,0)</f>
        <v>-6618.2274477450856</v>
      </c>
      <c r="K10" s="428">
        <f ca="1">IF(K$4&lt;=$C$20,(-'Master Tab'!$F$7-IF(MOD(K4,Maintenance!$B$60)=0,Maintenance!$H$38,0))*(1+$C$26)^K$4,0)</f>
        <v>-6703.7951246550101</v>
      </c>
      <c r="L10" s="428">
        <f ca="1">IF(L$4&lt;=$C$20,(-'Master Tab'!$F$7-IF(MOD(L4,Maintenance!$B$60)=0,Maintenance!$H$38,0))*(1+$C$26)^L$4,0)</f>
        <v>-6790.4691140012428</v>
      </c>
      <c r="M10" s="428">
        <f ca="1">IF(M$4&lt;=$C$20,(-'Master Tab'!$F$7-IF(MOD(M4,Maintenance!$B$60)=0,Maintenance!$H$38,0))*(1+$C$26)^M$4,0)</f>
        <v>-176434.9192197673</v>
      </c>
      <c r="N10" s="428">
        <f ca="1">IF(N$4&lt;=$C$20,(-'Master Tab'!$F$7-IF(MOD(N4,Maintenance!$B$60)=0,Maintenance!$H$38,0))*(1+$C$26)^N$4,0)</f>
        <v>-6967.1934294000812</v>
      </c>
      <c r="O10" s="428">
        <f ca="1">IF(O$4&lt;=$C$20,(-'Master Tab'!$F$7-IF(MOD(O4,Maintenance!$B$60)=0,Maintenance!$H$38,0))*(1+$C$26)^O$4,0)</f>
        <v>-7057.2729198743727</v>
      </c>
      <c r="P10" s="428">
        <f ca="1">IF(P$4&lt;=$C$20,(-'Master Tab'!$F$7-IF(MOD(P4,Maintenance!$B$60)=0,Maintenance!$H$38,0))*(1+$C$26)^P$4,0)</f>
        <v>-7148.5170564412902</v>
      </c>
      <c r="Q10" s="428">
        <f ca="1">IF(Q$4&lt;=$C$20,(-'Master Tab'!$F$7-IF(MOD(Q4,Maintenance!$B$60)=0,Maintenance!$H$38,0))*(1+$C$26)^Q$4,0)</f>
        <v>-7240.9408969182541</v>
      </c>
      <c r="R10" s="428">
        <f ca="1">IF(R$4&lt;=$C$20,(-'Master Tab'!$F$7-IF(MOD(R4,Maintenance!$B$60)=0,Maintenance!$H$38,0))*(1+$C$26)^R$4,0)</f>
        <v>-7334.5596938066046</v>
      </c>
      <c r="S10" s="428">
        <f ca="1">IF(S$4&lt;=$C$20,(-'Master Tab'!$F$7-IF(MOD(S4,Maintenance!$B$60)=0,Maintenance!$H$38,0))*(1+$C$26)^S$4,0)</f>
        <v>-7429.3888968086912</v>
      </c>
      <c r="T10" s="428">
        <f ca="1">IF(T$4&lt;=$C$20,(-'Master Tab'!$F$7-IF(MOD(T4,Maintenance!$B$60)=0,Maintenance!$H$38,0))*(1+$C$26)^T$4,0)</f>
        <v>-193035.7988313261</v>
      </c>
      <c r="U10" s="428">
        <f ca="1">IF(U$4&lt;=$C$20,(-'Master Tab'!$F$7-IF(MOD(U4,Maintenance!$B$60)=0,Maintenance!$H$38,0))*(1+$C$26)^U$4,0)</f>
        <v>-7622.7413212992278</v>
      </c>
      <c r="V10" s="428">
        <f>IF(V$4&lt;=$C$20,(-'Master Tab'!$F$7-IF(MOD(V4,Maintenance!$B$60)=0,Maintenance!$H$38,0))*(1+$C$26)^V$4,0)</f>
        <v>0</v>
      </c>
      <c r="W10" s="428">
        <f>IF(W$4&lt;=$C$20,(-'Master Tab'!$F$7-IF(MOD(W4,Maintenance!$B$60)=0,Maintenance!$H$38,0))*(1+$C$26)^W$4,0)</f>
        <v>0</v>
      </c>
      <c r="X10" s="428">
        <f>IF(X$4&lt;=$C$20,(-'Master Tab'!$F$7-IF(MOD(X4,Maintenance!$B$60)=0,Maintenance!$H$38,0))*(1+$C$26)^X$4,0)</f>
        <v>0</v>
      </c>
      <c r="Y10" s="428">
        <f>IF(Y$4&lt;=$C$20,(-'Master Tab'!$F$7-IF(MOD(Y4,Maintenance!$B$60)=0,Maintenance!$H$38,0))*(1+$C$26)^Y$4,0)</f>
        <v>0</v>
      </c>
      <c r="Z10" s="428">
        <f>IF(Z$4&lt;=$C$20,(-'Master Tab'!$F$7-IF(MOD(Z4,Maintenance!$B$60)=0,Maintenance!$H$38,0))*(1+$C$26)^Z$4,0)</f>
        <v>0</v>
      </c>
      <c r="AA10" s="428">
        <f>IF(AA$4&lt;=$C$20,(-'Master Tab'!$F$7-IF(MOD(AA4,Maintenance!$B$60)=0,Maintenance!$H$38,0))*(1+$C$26)^AA$4,0)</f>
        <v>0</v>
      </c>
    </row>
    <row r="11" spans="1:27" ht="15.75" thickBot="1">
      <c r="A11" s="46" t="s">
        <v>353</v>
      </c>
      <c r="B11" s="32"/>
      <c r="C11" s="32"/>
      <c r="E11" s="237" t="s">
        <v>2</v>
      </c>
      <c r="F11" s="429"/>
      <c r="G11" s="428">
        <f>IF(G$4&lt;=$C$20,-'Master Tab'!$F$8*(1+$C$25)^G$4,0)</f>
        <v>-40895.238095238099</v>
      </c>
      <c r="H11" s="428">
        <f>IF(H$4&lt;=$C$20,-'Master Tab'!$F$8*(1+$C$25)^H$4,0)</f>
        <v>-41810.512471655325</v>
      </c>
      <c r="I11" s="428">
        <f>IF(I$4&lt;=$C$20,-'Master Tab'!$F$8*(1+$C$25)^I$4,0)</f>
        <v>-42746.271560306661</v>
      </c>
      <c r="J11" s="428">
        <f>IF(J$4&lt;=$C$20,-'Master Tab'!$F$8*(1+$C$25)^J$4,0)</f>
        <v>-43702.973828561138</v>
      </c>
      <c r="K11" s="428">
        <f>IF(K$4&lt;=$C$20,-'Master Tab'!$F$8*(1+$C$25)^K$4,0)</f>
        <v>-44681.088004724174</v>
      </c>
      <c r="L11" s="428">
        <f>IF(L$4&lt;=$C$20,-'Master Tab'!$F$8*(1+$C$25)^L$4,0)</f>
        <v>-45681.09330768705</v>
      </c>
      <c r="M11" s="428">
        <f>IF(M$4&lt;=$C$20,-'Master Tab'!$F$8*(1+$C$25)^M$4,0)</f>
        <v>-46703.479681716235</v>
      </c>
      <c r="N11" s="428">
        <f>IF(N$4&lt;=$C$20,-'Master Tab'!$F$8*(1+$C$25)^N$4,0)</f>
        <v>-47748.748036497491</v>
      </c>
      <c r="O11" s="428">
        <f>IF(O$4&lt;=$C$20,-'Master Tab'!$F$8*(1+$C$25)^O$4,0)</f>
        <v>-48817.41049255243</v>
      </c>
      <c r="P11" s="428">
        <f>IF(P$4&lt;=$C$20,-'Master Tab'!$F$8*(1+$C$25)^P$4,0)</f>
        <v>-49909.990632147652</v>
      </c>
      <c r="Q11" s="428">
        <f>IF(Q$4&lt;=$C$20,-'Master Tab'!$F$8*(1+$C$25)^Q$4,0)</f>
        <v>-51027.023755819529</v>
      </c>
      <c r="R11" s="428">
        <f>IF(R$4&lt;=$C$20,-'Master Tab'!$F$8*(1+$C$25)^R$4,0)</f>
        <v>-52169.057144640246</v>
      </c>
      <c r="S11" s="428">
        <f>IF(S$4&lt;=$C$20,-'Master Tab'!$F$8*(1+$C$25)^S$4,0)</f>
        <v>-53336.650328353622</v>
      </c>
      <c r="T11" s="428">
        <f>IF(T$4&lt;=$C$20,-'Master Tab'!$F$8*(1+$C$25)^T$4,0)</f>
        <v>-54530.375359512007</v>
      </c>
      <c r="U11" s="428">
        <f>IF(U$4&lt;=$C$20,-'Master Tab'!$F$8*(1+$C$25)^U$4,0)</f>
        <v>-55750.817093748708</v>
      </c>
      <c r="V11" s="428">
        <f>IF(V$4&lt;=$C$20,-'Master Tab'!$F$8*(1+$C$25)^V$4,0)</f>
        <v>0</v>
      </c>
      <c r="W11" s="428">
        <f>IF(W$4&lt;=$C$20,-'Master Tab'!$F$8*(1+$C$25)^W$4,0)</f>
        <v>0</v>
      </c>
      <c r="X11" s="428">
        <f>IF(X$4&lt;=$C$20,-'Master Tab'!$F$8*(1+$C$25)^X$4,0)</f>
        <v>0</v>
      </c>
      <c r="Y11" s="428">
        <f>IF(Y$4&lt;=$C$20,-'Master Tab'!$F$8*(1+$C$25)^Y$4,0)</f>
        <v>0</v>
      </c>
      <c r="Z11" s="428">
        <f>IF(Z$4&lt;=$C$20,-'Master Tab'!$F$8*(1+$C$25)^Z$4,0)</f>
        <v>0</v>
      </c>
      <c r="AA11" s="428">
        <f>IF(AA$4&lt;=$C$20,-'Master Tab'!$F$8*(1+$C$25)^AA$4,0)</f>
        <v>0</v>
      </c>
    </row>
    <row r="12" spans="1:27">
      <c r="A12" s="256" t="s">
        <v>392</v>
      </c>
      <c r="B12"/>
      <c r="C12" s="394" t="s">
        <v>394</v>
      </c>
      <c r="E12" s="237" t="s">
        <v>3</v>
      </c>
      <c r="F12" s="429"/>
      <c r="G12" s="428" t="e">
        <f ca="1">IF(G$4&lt;=$C$20,-'Master Tab'!$F$9*(1+$C$24)^G$4,0)</f>
        <v>#N/A</v>
      </c>
      <c r="H12" s="428" t="e">
        <f ca="1">IF(H$4&lt;=$C$20,-'Master Tab'!$F$9*(1+$C$24)^H$4,0)</f>
        <v>#N/A</v>
      </c>
      <c r="I12" s="428" t="e">
        <f ca="1">IF(I$4&lt;=$C$20,-'Master Tab'!$F$9*(1+$C$24)^I$4,0)</f>
        <v>#N/A</v>
      </c>
      <c r="J12" s="428" t="e">
        <f ca="1">IF(J$4&lt;=$C$20,-'Master Tab'!$F$9*(1+$C$24)^J$4,0)</f>
        <v>#N/A</v>
      </c>
      <c r="K12" s="428" t="e">
        <f ca="1">IF(K$4&lt;=$C$20,-'Master Tab'!$F$9*(1+$C$24)^K$4,0)</f>
        <v>#N/A</v>
      </c>
      <c r="L12" s="428" t="e">
        <f ca="1">IF(L$4&lt;=$C$20,-'Master Tab'!$F$9*(1+$C$24)^L$4,0)</f>
        <v>#N/A</v>
      </c>
      <c r="M12" s="428" t="e">
        <f ca="1">IF(M$4&lt;=$C$20,-'Master Tab'!$F$9*(1+$C$24)^M$4,0)</f>
        <v>#N/A</v>
      </c>
      <c r="N12" s="428" t="e">
        <f ca="1">IF(N$4&lt;=$C$20,-'Master Tab'!$F$9*(1+$C$24)^N$4,0)</f>
        <v>#N/A</v>
      </c>
      <c r="O12" s="428" t="e">
        <f ca="1">IF(O$4&lt;=$C$20,-'Master Tab'!$F$9*(1+$C$24)^O$4,0)</f>
        <v>#N/A</v>
      </c>
      <c r="P12" s="428" t="e">
        <f ca="1">IF(P$4&lt;=$C$20,-'Master Tab'!$F$9*(1+$C$24)^P$4,0)</f>
        <v>#N/A</v>
      </c>
      <c r="Q12" s="428" t="e">
        <f ca="1">IF(Q$4&lt;=$C$20,-'Master Tab'!$F$9*(1+$C$24)^Q$4,0)</f>
        <v>#N/A</v>
      </c>
      <c r="R12" s="428" t="e">
        <f ca="1">IF(R$4&lt;=$C$20,-'Master Tab'!$F$9*(1+$C$24)^R$4,0)</f>
        <v>#N/A</v>
      </c>
      <c r="S12" s="428" t="e">
        <f ca="1">IF(S$4&lt;=$C$20,-'Master Tab'!$F$9*(1+$C$24)^S$4,0)</f>
        <v>#N/A</v>
      </c>
      <c r="T12" s="428" t="e">
        <f ca="1">IF(T$4&lt;=$C$20,-'Master Tab'!$F$9*(1+$C$24)^T$4,0)</f>
        <v>#N/A</v>
      </c>
      <c r="U12" s="428" t="e">
        <f ca="1">IF(U$4&lt;=$C$20,-'Master Tab'!$F$9*(1+$C$24)^U$4,0)</f>
        <v>#N/A</v>
      </c>
      <c r="V12" s="428">
        <f>IF(V$4&lt;=$C$20,-'Master Tab'!$F$9*(1+$C$24)^V$4,0)</f>
        <v>0</v>
      </c>
      <c r="W12" s="428">
        <f>IF(W$4&lt;=$C$20,-'Master Tab'!$F$9*(1+$C$24)^W$4,0)</f>
        <v>0</v>
      </c>
      <c r="X12" s="428">
        <f>IF(X$4&lt;=$C$20,-'Master Tab'!$F$9*(1+$C$24)^X$4,0)</f>
        <v>0</v>
      </c>
      <c r="Y12" s="428">
        <f>IF(Y$4&lt;=$C$20,-'Master Tab'!$F$9*(1+$C$24)^Y$4,0)</f>
        <v>0</v>
      </c>
      <c r="Z12" s="428">
        <f>IF(Z$4&lt;=$C$20,-'Master Tab'!$F$9*(1+$C$24)^Z$4,0)</f>
        <v>0</v>
      </c>
      <c r="AA12" s="428">
        <f>IF(AA$4&lt;=$C$20,-'Master Tab'!$F$9*(1+$C$24)^AA$4,0)</f>
        <v>0</v>
      </c>
    </row>
    <row r="13" spans="1:27">
      <c r="A13" s="523" t="s">
        <v>712</v>
      </c>
      <c r="B13" s="256"/>
      <c r="C13" s="235">
        <f>INDEX(Assumptions!$A$6:$D$58,MATCH(A13,Assumptions!$A$6:$A$58,0),MATCH($C$12,Assumptions!$A$6:$D$6,0))</f>
        <v>0.35</v>
      </c>
      <c r="E13" s="237" t="s">
        <v>409</v>
      </c>
      <c r="F13" s="429"/>
      <c r="G13" s="428">
        <f ca="1">'Master Tab'!F6*C33</f>
        <v>431970.76903846156</v>
      </c>
      <c r="H13" s="428"/>
      <c r="I13" s="428"/>
      <c r="J13" s="428"/>
      <c r="K13" s="428"/>
      <c r="L13" s="428"/>
      <c r="M13" s="428"/>
      <c r="N13" s="428"/>
      <c r="O13" s="428"/>
      <c r="P13" s="428"/>
      <c r="Q13" s="428"/>
      <c r="R13" s="428"/>
      <c r="S13" s="428"/>
      <c r="T13" s="428"/>
      <c r="U13" s="428"/>
      <c r="V13" s="428"/>
      <c r="W13" s="428"/>
      <c r="X13" s="428"/>
      <c r="Y13" s="428"/>
      <c r="Z13" s="428"/>
      <c r="AA13" s="428"/>
    </row>
    <row r="14" spans="1:27">
      <c r="A14" s="256"/>
      <c r="B14" s="256"/>
      <c r="C14" s="235"/>
      <c r="E14" s="237" t="s">
        <v>263</v>
      </c>
      <c r="F14" s="430">
        <f t="shared" ref="F14:AA14" ca="1" si="0">SUM(F6:F13)</f>
        <v>-1727883.0761538462</v>
      </c>
      <c r="G14" s="430" t="e">
        <f t="shared" ca="1" si="0"/>
        <v>#N/A</v>
      </c>
      <c r="H14" s="430" t="e">
        <f t="shared" ca="1" si="0"/>
        <v>#N/A</v>
      </c>
      <c r="I14" s="430" t="e">
        <f t="shared" ca="1" si="0"/>
        <v>#N/A</v>
      </c>
      <c r="J14" s="430" t="e">
        <f t="shared" ca="1" si="0"/>
        <v>#N/A</v>
      </c>
      <c r="K14" s="430" t="e">
        <f t="shared" ca="1" si="0"/>
        <v>#N/A</v>
      </c>
      <c r="L14" s="430" t="e">
        <f t="shared" ca="1" si="0"/>
        <v>#N/A</v>
      </c>
      <c r="M14" s="430" t="e">
        <f t="shared" ca="1" si="0"/>
        <v>#N/A</v>
      </c>
      <c r="N14" s="430" t="e">
        <f t="shared" ca="1" si="0"/>
        <v>#N/A</v>
      </c>
      <c r="O14" s="430" t="e">
        <f t="shared" ca="1" si="0"/>
        <v>#N/A</v>
      </c>
      <c r="P14" s="430" t="e">
        <f t="shared" ca="1" si="0"/>
        <v>#N/A</v>
      </c>
      <c r="Q14" s="430" t="e">
        <f t="shared" ca="1" si="0"/>
        <v>#N/A</v>
      </c>
      <c r="R14" s="430" t="e">
        <f t="shared" ca="1" si="0"/>
        <v>#N/A</v>
      </c>
      <c r="S14" s="430" t="e">
        <f t="shared" ca="1" si="0"/>
        <v>#N/A</v>
      </c>
      <c r="T14" s="430" t="e">
        <f t="shared" ca="1" si="0"/>
        <v>#N/A</v>
      </c>
      <c r="U14" s="430" t="e">
        <f t="shared" ca="1" si="0"/>
        <v>#N/A</v>
      </c>
      <c r="V14" s="430">
        <f t="shared" si="0"/>
        <v>0</v>
      </c>
      <c r="W14" s="430">
        <f t="shared" si="0"/>
        <v>0</v>
      </c>
      <c r="X14" s="430">
        <f t="shared" si="0"/>
        <v>0</v>
      </c>
      <c r="Y14" s="430">
        <f t="shared" si="0"/>
        <v>0</v>
      </c>
      <c r="Z14" s="430">
        <f t="shared" si="0"/>
        <v>0</v>
      </c>
      <c r="AA14" s="430">
        <f t="shared" si="0"/>
        <v>0</v>
      </c>
    </row>
    <row r="15" spans="1:27">
      <c r="A15" s="270" t="s">
        <v>691</v>
      </c>
      <c r="B15" s="256"/>
      <c r="C15" s="235"/>
      <c r="E15" s="237" t="s">
        <v>262</v>
      </c>
      <c r="F15" s="431">
        <f t="shared" ref="F15:AA15" ca="1" si="1">F14/(1+$C$29)^F4</f>
        <v>-1727883.0761538462</v>
      </c>
      <c r="G15" s="431" t="e">
        <f t="shared" ca="1" si="1"/>
        <v>#N/A</v>
      </c>
      <c r="H15" s="431" t="e">
        <f t="shared" ca="1" si="1"/>
        <v>#N/A</v>
      </c>
      <c r="I15" s="431" t="e">
        <f t="shared" ca="1" si="1"/>
        <v>#N/A</v>
      </c>
      <c r="J15" s="431" t="e">
        <f t="shared" ca="1" si="1"/>
        <v>#N/A</v>
      </c>
      <c r="K15" s="431" t="e">
        <f t="shared" ca="1" si="1"/>
        <v>#N/A</v>
      </c>
      <c r="L15" s="431" t="e">
        <f t="shared" ca="1" si="1"/>
        <v>#N/A</v>
      </c>
      <c r="M15" s="431" t="e">
        <f t="shared" ca="1" si="1"/>
        <v>#N/A</v>
      </c>
      <c r="N15" s="431" t="e">
        <f t="shared" ca="1" si="1"/>
        <v>#N/A</v>
      </c>
      <c r="O15" s="431" t="e">
        <f t="shared" ca="1" si="1"/>
        <v>#N/A</v>
      </c>
      <c r="P15" s="431" t="e">
        <f t="shared" ca="1" si="1"/>
        <v>#N/A</v>
      </c>
      <c r="Q15" s="431" t="e">
        <f t="shared" ca="1" si="1"/>
        <v>#N/A</v>
      </c>
      <c r="R15" s="431" t="e">
        <f t="shared" ca="1" si="1"/>
        <v>#N/A</v>
      </c>
      <c r="S15" s="431" t="e">
        <f t="shared" ca="1" si="1"/>
        <v>#N/A</v>
      </c>
      <c r="T15" s="431" t="e">
        <f t="shared" ca="1" si="1"/>
        <v>#N/A</v>
      </c>
      <c r="U15" s="431" t="e">
        <f t="shared" ca="1" si="1"/>
        <v>#N/A</v>
      </c>
      <c r="V15" s="431">
        <f t="shared" si="1"/>
        <v>0</v>
      </c>
      <c r="W15" s="431">
        <f t="shared" si="1"/>
        <v>0</v>
      </c>
      <c r="X15" s="431">
        <f t="shared" si="1"/>
        <v>0</v>
      </c>
      <c r="Y15" s="431">
        <f t="shared" si="1"/>
        <v>0</v>
      </c>
      <c r="Z15" s="431">
        <f t="shared" si="1"/>
        <v>0</v>
      </c>
      <c r="AA15" s="431">
        <f t="shared" si="1"/>
        <v>0</v>
      </c>
    </row>
    <row r="16" spans="1:27">
      <c r="A16" s="256" t="s">
        <v>243</v>
      </c>
      <c r="B16" s="256"/>
      <c r="C16" s="421">
        <f ca="1">'Dynamic Tracking Chart'!R4*(1+C23)</f>
        <v>264646.58105116308</v>
      </c>
      <c r="E16"/>
      <c r="F16" s="240"/>
      <c r="G16" s="240"/>
      <c r="H16" s="240"/>
      <c r="I16" s="240"/>
      <c r="J16" s="240"/>
      <c r="K16" s="240"/>
      <c r="L16" s="240"/>
      <c r="M16" s="240"/>
      <c r="N16" s="240"/>
      <c r="O16" s="240"/>
      <c r="P16" s="240"/>
      <c r="Q16" s="240"/>
      <c r="R16" s="240"/>
      <c r="S16" s="240"/>
      <c r="T16" s="240"/>
      <c r="U16" s="240"/>
      <c r="V16" s="240"/>
      <c r="W16" s="240"/>
      <c r="X16" s="240"/>
      <c r="Y16" s="240"/>
      <c r="Z16" s="240"/>
      <c r="AA16" s="240"/>
    </row>
    <row r="17" spans="1:27">
      <c r="A17" s="256" t="s">
        <v>692</v>
      </c>
      <c r="B17" s="256"/>
      <c r="C17" s="421" t="e">
        <f ca="1">'Dynamic Tracking Chart'!R5*(1+C24)</f>
        <v>#N/A</v>
      </c>
      <c r="E17"/>
      <c r="F17" s="29" t="s">
        <v>120</v>
      </c>
      <c r="G17" s="424" t="e">
        <f ca="1">SUM(F15:AA15)</f>
        <v>#N/A</v>
      </c>
      <c r="H17" s="29"/>
      <c r="I17" s="29"/>
      <c r="J17" s="29"/>
      <c r="K17" s="29"/>
      <c r="L17" s="29"/>
      <c r="M17" s="29"/>
      <c r="N17" s="29"/>
      <c r="O17" s="29"/>
      <c r="P17" s="29"/>
      <c r="Q17" s="29"/>
      <c r="R17" s="29"/>
      <c r="S17" s="29"/>
      <c r="T17" s="29"/>
      <c r="U17" s="29"/>
      <c r="V17" s="29"/>
      <c r="W17" s="29"/>
      <c r="X17" s="29"/>
      <c r="Y17" s="29"/>
      <c r="Z17" s="29"/>
      <c r="AA17" s="29"/>
    </row>
    <row r="18" spans="1:27">
      <c r="A18" s="256" t="s">
        <v>693</v>
      </c>
      <c r="B18" s="256"/>
      <c r="C18" s="421" t="e">
        <f ca="1">C16-C17</f>
        <v>#N/A</v>
      </c>
      <c r="E18"/>
      <c r="F18" s="29" t="s">
        <v>121</v>
      </c>
      <c r="G18" s="191" t="e">
        <f ca="1">IRR(F14:AA14)</f>
        <v>#VALUE!</v>
      </c>
      <c r="H18" s="239"/>
      <c r="I18" s="41"/>
      <c r="J18" s="76"/>
      <c r="K18" s="76"/>
      <c r="L18" s="76"/>
      <c r="M18"/>
      <c r="N18"/>
      <c r="O18"/>
      <c r="P18"/>
      <c r="Q18"/>
      <c r="R18"/>
      <c r="S18"/>
      <c r="T18"/>
      <c r="U18"/>
      <c r="V18"/>
      <c r="W18"/>
      <c r="X18"/>
      <c r="Y18"/>
      <c r="Z18"/>
      <c r="AA18"/>
    </row>
    <row r="19" spans="1:27">
      <c r="A19" s="256"/>
      <c r="B19" s="256"/>
      <c r="C19" s="421"/>
      <c r="E19"/>
      <c r="F19"/>
      <c r="G19"/>
      <c r="H19"/>
      <c r="I19"/>
      <c r="J19"/>
      <c r="K19"/>
      <c r="L19"/>
      <c r="M19"/>
      <c r="N19"/>
      <c r="O19"/>
      <c r="P19"/>
      <c r="Q19"/>
      <c r="R19"/>
      <c r="S19"/>
      <c r="T19"/>
      <c r="U19"/>
      <c r="V19"/>
      <c r="W19"/>
      <c r="X19"/>
      <c r="Y19"/>
      <c r="Z19"/>
      <c r="AA19"/>
    </row>
    <row r="20" spans="1:27">
      <c r="A20" s="256" t="s">
        <v>366</v>
      </c>
      <c r="B20" s="29"/>
      <c r="C20" s="117">
        <f>INDEX(Assumptions!$A$6:$D$54,MATCH(A20,Assumptions!$A$6:$A$54,0),MATCH($C$12,Assumptions!$A$6:$D$6,0))</f>
        <v>15</v>
      </c>
      <c r="E20" s="42"/>
      <c r="F20" s="42"/>
      <c r="G20" s="42"/>
      <c r="H20" s="42"/>
      <c r="I20" s="42"/>
      <c r="J20" s="42"/>
      <c r="K20" s="42"/>
      <c r="L20" s="42"/>
    </row>
    <row r="21" spans="1:27">
      <c r="A21" s="397"/>
      <c r="B21"/>
      <c r="C21" s="113"/>
      <c r="E21" s="332" t="s">
        <v>552</v>
      </c>
      <c r="F21" s="2"/>
      <c r="G21" s="42"/>
      <c r="H21" s="42"/>
    </row>
    <row r="22" spans="1:27">
      <c r="A22" s="270" t="s">
        <v>789</v>
      </c>
      <c r="B22"/>
      <c r="C22" s="113"/>
      <c r="E22" s="75" t="s">
        <v>630</v>
      </c>
      <c r="F22" s="75" t="b">
        <f ca="1">'Master Tab'!C31</f>
        <v>1</v>
      </c>
      <c r="G22" s="42"/>
      <c r="H22" s="42"/>
      <c r="I22" s="42"/>
      <c r="J22" s="42"/>
      <c r="K22" s="42"/>
      <c r="L22" s="42"/>
      <c r="M22" s="42"/>
      <c r="N22" s="42"/>
      <c r="O22" s="42"/>
      <c r="P22" s="42"/>
      <c r="Q22" s="42"/>
      <c r="R22" s="42"/>
      <c r="S22" s="42"/>
      <c r="T22" s="42"/>
      <c r="U22" s="42"/>
      <c r="V22" s="42"/>
    </row>
    <row r="23" spans="1:27">
      <c r="A23" s="29" t="s">
        <v>688</v>
      </c>
      <c r="B23"/>
      <c r="C23" s="392">
        <f>INDEX(Assumptions!$A$6:$D$17,MATCH(A23,Assumptions!$A$6:$A$17,0),MATCH($C$12,Assumptions!$A$6:$D$6,0))</f>
        <v>2.238095238095238E-2</v>
      </c>
      <c r="E23" s="75" t="s">
        <v>631</v>
      </c>
      <c r="F23" s="75" t="b">
        <f>'Master Tab'!C32</f>
        <v>1</v>
      </c>
      <c r="G23" s="42"/>
      <c r="H23" s="42"/>
    </row>
    <row r="24" spans="1:27">
      <c r="A24" s="29" t="s">
        <v>3</v>
      </c>
      <c r="B24"/>
      <c r="C24" s="392" t="e">
        <f>INDEX(Assumptions!$A$6:$D$17,MATCH(A24,Assumptions!$A$6:$A$17,0),MATCH($C$12,Assumptions!$A$6:$D$6,0))</f>
        <v>#N/A</v>
      </c>
      <c r="E24" s="75" t="s">
        <v>632</v>
      </c>
      <c r="F24" s="75" t="b">
        <f>'Master Tab'!C33</f>
        <v>1</v>
      </c>
      <c r="G24" s="42"/>
      <c r="H24" s="446"/>
    </row>
    <row r="25" spans="1:27">
      <c r="A25" s="29" t="s">
        <v>2</v>
      </c>
      <c r="B25"/>
      <c r="C25" s="392">
        <f>INDEX(Assumptions!$A$6:$D$17,MATCH(A25,Assumptions!$A$6:$A$17,0),MATCH($C$12,Assumptions!$A$6:$D$6,0))</f>
        <v>2.238095238095238E-2</v>
      </c>
      <c r="E25" s="29"/>
      <c r="F25" s="75"/>
      <c r="G25" s="42"/>
      <c r="H25" s="446"/>
    </row>
    <row r="26" spans="1:27">
      <c r="A26" s="29" t="s">
        <v>690</v>
      </c>
      <c r="B26"/>
      <c r="C26" s="392">
        <f>INDEX(Assumptions!$A$6:$D$17,MATCH(A26,Assumptions!$A$6:$A$17,0),MATCH($C$12,Assumptions!$A$6:$D$6,0))</f>
        <v>1.2929092810051234E-2</v>
      </c>
      <c r="E26" s="42"/>
      <c r="F26" s="42"/>
      <c r="G26" s="42"/>
      <c r="H26" s="446"/>
      <c r="I26" s="42"/>
    </row>
    <row r="27" spans="1:27">
      <c r="A27" s="29" t="s">
        <v>212</v>
      </c>
      <c r="B27"/>
      <c r="C27" s="392">
        <f>INDEX(Assumptions!$A$6:$D$17,MATCH(A27,Assumptions!$A$6:$A$17,0),MATCH($C$12,Assumptions!$A$6:$D$6,0))</f>
        <v>1.9619047619047619E-2</v>
      </c>
      <c r="E27" s="42"/>
      <c r="F27" s="42"/>
      <c r="G27" s="42"/>
      <c r="H27" s="42"/>
      <c r="I27" s="42"/>
      <c r="K27" s="289"/>
    </row>
    <row r="28" spans="1:27" ht="15.75" thickBot="1">
      <c r="A28" s="46"/>
      <c r="B28" s="32"/>
      <c r="C28" s="32"/>
      <c r="E28" s="42"/>
      <c r="F28" s="42"/>
    </row>
    <row r="29" spans="1:27">
      <c r="A29" s="256" t="s">
        <v>689</v>
      </c>
      <c r="B29"/>
      <c r="C29" s="303">
        <f>INDEX(Assumptions!$A$6:$D$54,MATCH(A29,Assumptions!$A$6:$A$54,0),MATCH($C$12,Assumptions!$A$6:$D$6,0))</f>
        <v>3.0221900000000003E-2</v>
      </c>
      <c r="E29" s="42"/>
      <c r="F29" s="42"/>
    </row>
    <row r="30" spans="1:27">
      <c r="A30" s="256"/>
      <c r="B30" s="256"/>
      <c r="C30" s="235"/>
      <c r="E30" s="42"/>
      <c r="F30" s="42"/>
      <c r="G30" s="290"/>
      <c r="H30" s="291"/>
      <c r="I30" s="289"/>
    </row>
    <row r="31" spans="1:27">
      <c r="A31" s="270" t="s">
        <v>401</v>
      </c>
      <c r="B31"/>
      <c r="C31" s="113"/>
      <c r="E31" s="42"/>
      <c r="F31" s="42"/>
      <c r="G31" s="290"/>
      <c r="H31" s="291"/>
      <c r="I31" s="289"/>
    </row>
    <row r="32" spans="1:27">
      <c r="A32" s="29" t="s">
        <v>402</v>
      </c>
      <c r="B32"/>
      <c r="C32" s="118" t="s">
        <v>636</v>
      </c>
      <c r="E32" s="42"/>
      <c r="F32" s="42"/>
      <c r="G32" s="293"/>
      <c r="H32" s="293"/>
    </row>
    <row r="33" spans="1:8">
      <c r="A33" s="29" t="s">
        <v>410</v>
      </c>
      <c r="B33"/>
      <c r="C33" s="235">
        <v>0.25</v>
      </c>
      <c r="E33" s="42"/>
      <c r="F33" s="42"/>
      <c r="G33" s="293"/>
      <c r="H33" s="293"/>
    </row>
    <row r="34" spans="1:8">
      <c r="A34" s="29" t="s">
        <v>433</v>
      </c>
      <c r="B34"/>
      <c r="C34" s="421">
        <f ca="1">NPV(C29,G13:L13)</f>
        <v>419298.76373086381</v>
      </c>
    </row>
    <row r="35" spans="1:8">
      <c r="A35"/>
      <c r="B35"/>
      <c r="C35"/>
    </row>
  </sheetData>
  <conditionalFormatting sqref="F22:F24">
    <cfRule type="cellIs" dxfId="90" priority="5" operator="equal">
      <formula>FALSE</formula>
    </cfRule>
    <cfRule type="cellIs" dxfId="89" priority="6" operator="equal">
      <formula>TRUE</formula>
    </cfRule>
  </conditionalFormatting>
  <conditionalFormatting sqref="A13">
    <cfRule type="expression" dxfId="88" priority="3">
      <formula>MOD(ROW(),2)=0</formula>
    </cfRule>
  </conditionalFormatting>
  <dataValidations count="2">
    <dataValidation type="list" allowBlank="1" showInputMessage="1" showErrorMessage="1" sqref="C22 C31" xr:uid="{EDA19213-46EA-4842-8588-3093190CE8F6}">
      <formula1>"SAT 46, CYS08, Average"</formula1>
    </dataValidation>
    <dataValidation type="list" allowBlank="1" showInputMessage="1" showErrorMessage="1" sqref="C12" xr:uid="{6DA10B65-B63F-47A1-97C9-1FBDCEF24463}">
      <formula1>"Best Case,Most Likely Case, Worst Case"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41145-8856-4F74-8D2B-E4CB2A6756B0}">
  <sheetPr codeName="Sheet16">
    <tabColor rgb="FFFFFF00"/>
  </sheetPr>
  <dimension ref="A2:D12"/>
  <sheetViews>
    <sheetView workbookViewId="0">
      <selection activeCell="E40" sqref="E40"/>
    </sheetView>
  </sheetViews>
  <sheetFormatPr defaultRowHeight="15"/>
  <cols>
    <col min="2" max="3" width="8.7109375" bestFit="1" customWidth="1"/>
  </cols>
  <sheetData>
    <row r="2" spans="1:4">
      <c r="A2" t="s">
        <v>403</v>
      </c>
    </row>
    <row r="3" spans="1:4">
      <c r="A3" t="s">
        <v>404</v>
      </c>
    </row>
    <row r="4" spans="1:4">
      <c r="A4" t="s">
        <v>405</v>
      </c>
      <c r="B4" t="s">
        <v>406</v>
      </c>
      <c r="C4" t="s">
        <v>407</v>
      </c>
      <c r="D4" t="s">
        <v>408</v>
      </c>
    </row>
    <row r="5" spans="1:4">
      <c r="A5">
        <v>1</v>
      </c>
      <c r="B5" s="287">
        <v>0.33329999999999999</v>
      </c>
      <c r="C5" s="287">
        <v>0.2</v>
      </c>
      <c r="D5">
        <v>0.1429</v>
      </c>
    </row>
    <row r="6" spans="1:4">
      <c r="A6">
        <v>2</v>
      </c>
      <c r="B6" s="287">
        <v>0.44450000000000001</v>
      </c>
      <c r="C6" s="287">
        <v>0.32</v>
      </c>
      <c r="D6">
        <v>0.24490000000000001</v>
      </c>
    </row>
    <row r="7" spans="1:4">
      <c r="A7">
        <v>3</v>
      </c>
      <c r="B7" s="287">
        <v>0.14810000000000001</v>
      </c>
      <c r="C7" s="287">
        <v>0.192</v>
      </c>
      <c r="D7">
        <v>0.1749</v>
      </c>
    </row>
    <row r="8" spans="1:4">
      <c r="A8">
        <v>4</v>
      </c>
      <c r="B8" s="287">
        <v>7.4099999999999999E-2</v>
      </c>
      <c r="C8" s="287">
        <v>0.1152</v>
      </c>
      <c r="D8">
        <v>0.1249</v>
      </c>
    </row>
    <row r="9" spans="1:4">
      <c r="A9">
        <v>5</v>
      </c>
      <c r="B9" s="287">
        <v>0</v>
      </c>
      <c r="C9" s="287">
        <v>0.1152</v>
      </c>
      <c r="D9">
        <v>8.9300000000000004E-2</v>
      </c>
    </row>
    <row r="10" spans="1:4">
      <c r="A10">
        <v>6</v>
      </c>
      <c r="B10" s="287">
        <v>0</v>
      </c>
      <c r="C10" s="287">
        <v>5.7599999999999998E-2</v>
      </c>
      <c r="D10">
        <v>8.9300000000000004E-2</v>
      </c>
    </row>
    <row r="11" spans="1:4">
      <c r="A11">
        <v>7</v>
      </c>
      <c r="B11" s="287">
        <v>0</v>
      </c>
      <c r="C11" s="287">
        <v>0</v>
      </c>
      <c r="D11">
        <v>8.9300000000000004E-2</v>
      </c>
    </row>
    <row r="12" spans="1:4">
      <c r="A12">
        <v>8</v>
      </c>
      <c r="D12">
        <v>4.4600000000000001E-2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D5C90-4997-4DD3-BC21-DC0F5876D55E}">
  <sheetPr codeName="Sheet2">
    <tabColor rgb="FFFFFF00"/>
  </sheetPr>
  <dimension ref="A1:T34"/>
  <sheetViews>
    <sheetView workbookViewId="0">
      <selection activeCell="C17" sqref="C17:C18"/>
    </sheetView>
  </sheetViews>
  <sheetFormatPr defaultRowHeight="15"/>
  <cols>
    <col min="1" max="1" width="3.140625" style="3" customWidth="1"/>
    <col min="2" max="2" width="28.5703125" style="3" bestFit="1" customWidth="1"/>
    <col min="3" max="3" width="20.85546875" style="3" bestFit="1" customWidth="1"/>
    <col min="4" max="4" width="14.7109375" style="3" bestFit="1" customWidth="1"/>
    <col min="5" max="5" width="38.85546875" style="3" bestFit="1" customWidth="1"/>
    <col min="6" max="6" width="28.5703125" style="3" bestFit="1" customWidth="1"/>
    <col min="7" max="7" width="15.7109375" style="3" bestFit="1" customWidth="1"/>
    <col min="8" max="9" width="32.28515625" style="3" bestFit="1" customWidth="1"/>
    <col min="10" max="10" width="27" style="3" bestFit="1" customWidth="1"/>
    <col min="11" max="22" width="14.7109375" style="3" bestFit="1" customWidth="1"/>
    <col min="23" max="23" width="10.140625" style="3" bestFit="1" customWidth="1"/>
    <col min="24" max="260" width="9.140625" style="3"/>
    <col min="261" max="261" width="37.5703125" style="3" customWidth="1"/>
    <col min="262" max="262" width="12.5703125" style="3" customWidth="1"/>
    <col min="263" max="271" width="13.42578125" style="3" customWidth="1"/>
    <col min="272" max="516" width="9.140625" style="3"/>
    <col min="517" max="517" width="37.5703125" style="3" customWidth="1"/>
    <col min="518" max="518" width="12.5703125" style="3" customWidth="1"/>
    <col min="519" max="527" width="13.42578125" style="3" customWidth="1"/>
    <col min="528" max="772" width="9.140625" style="3"/>
    <col min="773" max="773" width="37.5703125" style="3" customWidth="1"/>
    <col min="774" max="774" width="12.5703125" style="3" customWidth="1"/>
    <col min="775" max="783" width="13.42578125" style="3" customWidth="1"/>
    <col min="784" max="1028" width="9.140625" style="3"/>
    <col min="1029" max="1029" width="37.5703125" style="3" customWidth="1"/>
    <col min="1030" max="1030" width="12.5703125" style="3" customWidth="1"/>
    <col min="1031" max="1039" width="13.42578125" style="3" customWidth="1"/>
    <col min="1040" max="1284" width="9.140625" style="3"/>
    <col min="1285" max="1285" width="37.5703125" style="3" customWidth="1"/>
    <col min="1286" max="1286" width="12.5703125" style="3" customWidth="1"/>
    <col min="1287" max="1295" width="13.42578125" style="3" customWidth="1"/>
    <col min="1296" max="1540" width="9.140625" style="3"/>
    <col min="1541" max="1541" width="37.5703125" style="3" customWidth="1"/>
    <col min="1542" max="1542" width="12.5703125" style="3" customWidth="1"/>
    <col min="1543" max="1551" width="13.42578125" style="3" customWidth="1"/>
    <col min="1552" max="1796" width="9.140625" style="3"/>
    <col min="1797" max="1797" width="37.5703125" style="3" customWidth="1"/>
    <col min="1798" max="1798" width="12.5703125" style="3" customWidth="1"/>
    <col min="1799" max="1807" width="13.42578125" style="3" customWidth="1"/>
    <col min="1808" max="2052" width="9.140625" style="3"/>
    <col min="2053" max="2053" width="37.5703125" style="3" customWidth="1"/>
    <col min="2054" max="2054" width="12.5703125" style="3" customWidth="1"/>
    <col min="2055" max="2063" width="13.42578125" style="3" customWidth="1"/>
    <col min="2064" max="2308" width="9.140625" style="3"/>
    <col min="2309" max="2309" width="37.5703125" style="3" customWidth="1"/>
    <col min="2310" max="2310" width="12.5703125" style="3" customWidth="1"/>
    <col min="2311" max="2319" width="13.42578125" style="3" customWidth="1"/>
    <col min="2320" max="2564" width="9.140625" style="3"/>
    <col min="2565" max="2565" width="37.5703125" style="3" customWidth="1"/>
    <col min="2566" max="2566" width="12.5703125" style="3" customWidth="1"/>
    <col min="2567" max="2575" width="13.42578125" style="3" customWidth="1"/>
    <col min="2576" max="2820" width="9.140625" style="3"/>
    <col min="2821" max="2821" width="37.5703125" style="3" customWidth="1"/>
    <col min="2822" max="2822" width="12.5703125" style="3" customWidth="1"/>
    <col min="2823" max="2831" width="13.42578125" style="3" customWidth="1"/>
    <col min="2832" max="3076" width="9.140625" style="3"/>
    <col min="3077" max="3077" width="37.5703125" style="3" customWidth="1"/>
    <col min="3078" max="3078" width="12.5703125" style="3" customWidth="1"/>
    <col min="3079" max="3087" width="13.42578125" style="3" customWidth="1"/>
    <col min="3088" max="3332" width="9.140625" style="3"/>
    <col min="3333" max="3333" width="37.5703125" style="3" customWidth="1"/>
    <col min="3334" max="3334" width="12.5703125" style="3" customWidth="1"/>
    <col min="3335" max="3343" width="13.42578125" style="3" customWidth="1"/>
    <col min="3344" max="3588" width="9.140625" style="3"/>
    <col min="3589" max="3589" width="37.5703125" style="3" customWidth="1"/>
    <col min="3590" max="3590" width="12.5703125" style="3" customWidth="1"/>
    <col min="3591" max="3599" width="13.42578125" style="3" customWidth="1"/>
    <col min="3600" max="3844" width="9.140625" style="3"/>
    <col min="3845" max="3845" width="37.5703125" style="3" customWidth="1"/>
    <col min="3846" max="3846" width="12.5703125" style="3" customWidth="1"/>
    <col min="3847" max="3855" width="13.42578125" style="3" customWidth="1"/>
    <col min="3856" max="4100" width="9.140625" style="3"/>
    <col min="4101" max="4101" width="37.5703125" style="3" customWidth="1"/>
    <col min="4102" max="4102" width="12.5703125" style="3" customWidth="1"/>
    <col min="4103" max="4111" width="13.42578125" style="3" customWidth="1"/>
    <col min="4112" max="4356" width="9.140625" style="3"/>
    <col min="4357" max="4357" width="37.5703125" style="3" customWidth="1"/>
    <col min="4358" max="4358" width="12.5703125" style="3" customWidth="1"/>
    <col min="4359" max="4367" width="13.42578125" style="3" customWidth="1"/>
    <col min="4368" max="4612" width="9.140625" style="3"/>
    <col min="4613" max="4613" width="37.5703125" style="3" customWidth="1"/>
    <col min="4614" max="4614" width="12.5703125" style="3" customWidth="1"/>
    <col min="4615" max="4623" width="13.42578125" style="3" customWidth="1"/>
    <col min="4624" max="4868" width="9.140625" style="3"/>
    <col min="4869" max="4869" width="37.5703125" style="3" customWidth="1"/>
    <col min="4870" max="4870" width="12.5703125" style="3" customWidth="1"/>
    <col min="4871" max="4879" width="13.42578125" style="3" customWidth="1"/>
    <col min="4880" max="5124" width="9.140625" style="3"/>
    <col min="5125" max="5125" width="37.5703125" style="3" customWidth="1"/>
    <col min="5126" max="5126" width="12.5703125" style="3" customWidth="1"/>
    <col min="5127" max="5135" width="13.42578125" style="3" customWidth="1"/>
    <col min="5136" max="5380" width="9.140625" style="3"/>
    <col min="5381" max="5381" width="37.5703125" style="3" customWidth="1"/>
    <col min="5382" max="5382" width="12.5703125" style="3" customWidth="1"/>
    <col min="5383" max="5391" width="13.42578125" style="3" customWidth="1"/>
    <col min="5392" max="5636" width="9.140625" style="3"/>
    <col min="5637" max="5637" width="37.5703125" style="3" customWidth="1"/>
    <col min="5638" max="5638" width="12.5703125" style="3" customWidth="1"/>
    <col min="5639" max="5647" width="13.42578125" style="3" customWidth="1"/>
    <col min="5648" max="5892" width="9.140625" style="3"/>
    <col min="5893" max="5893" width="37.5703125" style="3" customWidth="1"/>
    <col min="5894" max="5894" width="12.5703125" style="3" customWidth="1"/>
    <col min="5895" max="5903" width="13.42578125" style="3" customWidth="1"/>
    <col min="5904" max="6148" width="9.140625" style="3"/>
    <col min="6149" max="6149" width="37.5703125" style="3" customWidth="1"/>
    <col min="6150" max="6150" width="12.5703125" style="3" customWidth="1"/>
    <col min="6151" max="6159" width="13.42578125" style="3" customWidth="1"/>
    <col min="6160" max="6404" width="9.140625" style="3"/>
    <col min="6405" max="6405" width="37.5703125" style="3" customWidth="1"/>
    <col min="6406" max="6406" width="12.5703125" style="3" customWidth="1"/>
    <col min="6407" max="6415" width="13.42578125" style="3" customWidth="1"/>
    <col min="6416" max="6660" width="9.140625" style="3"/>
    <col min="6661" max="6661" width="37.5703125" style="3" customWidth="1"/>
    <col min="6662" max="6662" width="12.5703125" style="3" customWidth="1"/>
    <col min="6663" max="6671" width="13.42578125" style="3" customWidth="1"/>
    <col min="6672" max="6916" width="9.140625" style="3"/>
    <col min="6917" max="6917" width="37.5703125" style="3" customWidth="1"/>
    <col min="6918" max="6918" width="12.5703125" style="3" customWidth="1"/>
    <col min="6919" max="6927" width="13.42578125" style="3" customWidth="1"/>
    <col min="6928" max="7172" width="9.140625" style="3"/>
    <col min="7173" max="7173" width="37.5703125" style="3" customWidth="1"/>
    <col min="7174" max="7174" width="12.5703125" style="3" customWidth="1"/>
    <col min="7175" max="7183" width="13.42578125" style="3" customWidth="1"/>
    <col min="7184" max="7428" width="9.140625" style="3"/>
    <col min="7429" max="7429" width="37.5703125" style="3" customWidth="1"/>
    <col min="7430" max="7430" width="12.5703125" style="3" customWidth="1"/>
    <col min="7431" max="7439" width="13.42578125" style="3" customWidth="1"/>
    <col min="7440" max="7684" width="9.140625" style="3"/>
    <col min="7685" max="7685" width="37.5703125" style="3" customWidth="1"/>
    <col min="7686" max="7686" width="12.5703125" style="3" customWidth="1"/>
    <col min="7687" max="7695" width="13.42578125" style="3" customWidth="1"/>
    <col min="7696" max="7940" width="9.140625" style="3"/>
    <col min="7941" max="7941" width="37.5703125" style="3" customWidth="1"/>
    <col min="7942" max="7942" width="12.5703125" style="3" customWidth="1"/>
    <col min="7943" max="7951" width="13.42578125" style="3" customWidth="1"/>
    <col min="7952" max="8196" width="9.140625" style="3"/>
    <col min="8197" max="8197" width="37.5703125" style="3" customWidth="1"/>
    <col min="8198" max="8198" width="12.5703125" style="3" customWidth="1"/>
    <col min="8199" max="8207" width="13.42578125" style="3" customWidth="1"/>
    <col min="8208" max="8452" width="9.140625" style="3"/>
    <col min="8453" max="8453" width="37.5703125" style="3" customWidth="1"/>
    <col min="8454" max="8454" width="12.5703125" style="3" customWidth="1"/>
    <col min="8455" max="8463" width="13.42578125" style="3" customWidth="1"/>
    <col min="8464" max="8708" width="9.140625" style="3"/>
    <col min="8709" max="8709" width="37.5703125" style="3" customWidth="1"/>
    <col min="8710" max="8710" width="12.5703125" style="3" customWidth="1"/>
    <col min="8711" max="8719" width="13.42578125" style="3" customWidth="1"/>
    <col min="8720" max="8964" width="9.140625" style="3"/>
    <col min="8965" max="8965" width="37.5703125" style="3" customWidth="1"/>
    <col min="8966" max="8966" width="12.5703125" style="3" customWidth="1"/>
    <col min="8967" max="8975" width="13.42578125" style="3" customWidth="1"/>
    <col min="8976" max="9220" width="9.140625" style="3"/>
    <col min="9221" max="9221" width="37.5703125" style="3" customWidth="1"/>
    <col min="9222" max="9222" width="12.5703125" style="3" customWidth="1"/>
    <col min="9223" max="9231" width="13.42578125" style="3" customWidth="1"/>
    <col min="9232" max="9476" width="9.140625" style="3"/>
    <col min="9477" max="9477" width="37.5703125" style="3" customWidth="1"/>
    <col min="9478" max="9478" width="12.5703125" style="3" customWidth="1"/>
    <col min="9479" max="9487" width="13.42578125" style="3" customWidth="1"/>
    <col min="9488" max="9732" width="9.140625" style="3"/>
    <col min="9733" max="9733" width="37.5703125" style="3" customWidth="1"/>
    <col min="9734" max="9734" width="12.5703125" style="3" customWidth="1"/>
    <col min="9735" max="9743" width="13.42578125" style="3" customWidth="1"/>
    <col min="9744" max="9988" width="9.140625" style="3"/>
    <col min="9989" max="9989" width="37.5703125" style="3" customWidth="1"/>
    <col min="9990" max="9990" width="12.5703125" style="3" customWidth="1"/>
    <col min="9991" max="9999" width="13.42578125" style="3" customWidth="1"/>
    <col min="10000" max="10244" width="9.140625" style="3"/>
    <col min="10245" max="10245" width="37.5703125" style="3" customWidth="1"/>
    <col min="10246" max="10246" width="12.5703125" style="3" customWidth="1"/>
    <col min="10247" max="10255" width="13.42578125" style="3" customWidth="1"/>
    <col min="10256" max="10500" width="9.140625" style="3"/>
    <col min="10501" max="10501" width="37.5703125" style="3" customWidth="1"/>
    <col min="10502" max="10502" width="12.5703125" style="3" customWidth="1"/>
    <col min="10503" max="10511" width="13.42578125" style="3" customWidth="1"/>
    <col min="10512" max="10756" width="9.140625" style="3"/>
    <col min="10757" max="10757" width="37.5703125" style="3" customWidth="1"/>
    <col min="10758" max="10758" width="12.5703125" style="3" customWidth="1"/>
    <col min="10759" max="10767" width="13.42578125" style="3" customWidth="1"/>
    <col min="10768" max="11012" width="9.140625" style="3"/>
    <col min="11013" max="11013" width="37.5703125" style="3" customWidth="1"/>
    <col min="11014" max="11014" width="12.5703125" style="3" customWidth="1"/>
    <col min="11015" max="11023" width="13.42578125" style="3" customWidth="1"/>
    <col min="11024" max="11268" width="9.140625" style="3"/>
    <col min="11269" max="11269" width="37.5703125" style="3" customWidth="1"/>
    <col min="11270" max="11270" width="12.5703125" style="3" customWidth="1"/>
    <col min="11271" max="11279" width="13.42578125" style="3" customWidth="1"/>
    <col min="11280" max="11524" width="9.140625" style="3"/>
    <col min="11525" max="11525" width="37.5703125" style="3" customWidth="1"/>
    <col min="11526" max="11526" width="12.5703125" style="3" customWidth="1"/>
    <col min="11527" max="11535" width="13.42578125" style="3" customWidth="1"/>
    <col min="11536" max="11780" width="9.140625" style="3"/>
    <col min="11781" max="11781" width="37.5703125" style="3" customWidth="1"/>
    <col min="11782" max="11782" width="12.5703125" style="3" customWidth="1"/>
    <col min="11783" max="11791" width="13.42578125" style="3" customWidth="1"/>
    <col min="11792" max="12036" width="9.140625" style="3"/>
    <col min="12037" max="12037" width="37.5703125" style="3" customWidth="1"/>
    <col min="12038" max="12038" width="12.5703125" style="3" customWidth="1"/>
    <col min="12039" max="12047" width="13.42578125" style="3" customWidth="1"/>
    <col min="12048" max="12292" width="9.140625" style="3"/>
    <col min="12293" max="12293" width="37.5703125" style="3" customWidth="1"/>
    <col min="12294" max="12294" width="12.5703125" style="3" customWidth="1"/>
    <col min="12295" max="12303" width="13.42578125" style="3" customWidth="1"/>
    <col min="12304" max="12548" width="9.140625" style="3"/>
    <col min="12549" max="12549" width="37.5703125" style="3" customWidth="1"/>
    <col min="12550" max="12550" width="12.5703125" style="3" customWidth="1"/>
    <col min="12551" max="12559" width="13.42578125" style="3" customWidth="1"/>
    <col min="12560" max="12804" width="9.140625" style="3"/>
    <col min="12805" max="12805" width="37.5703125" style="3" customWidth="1"/>
    <col min="12806" max="12806" width="12.5703125" style="3" customWidth="1"/>
    <col min="12807" max="12815" width="13.42578125" style="3" customWidth="1"/>
    <col min="12816" max="13060" width="9.140625" style="3"/>
    <col min="13061" max="13061" width="37.5703125" style="3" customWidth="1"/>
    <col min="13062" max="13062" width="12.5703125" style="3" customWidth="1"/>
    <col min="13063" max="13071" width="13.42578125" style="3" customWidth="1"/>
    <col min="13072" max="13316" width="9.140625" style="3"/>
    <col min="13317" max="13317" width="37.5703125" style="3" customWidth="1"/>
    <col min="13318" max="13318" width="12.5703125" style="3" customWidth="1"/>
    <col min="13319" max="13327" width="13.42578125" style="3" customWidth="1"/>
    <col min="13328" max="13572" width="9.140625" style="3"/>
    <col min="13573" max="13573" width="37.5703125" style="3" customWidth="1"/>
    <col min="13574" max="13574" width="12.5703125" style="3" customWidth="1"/>
    <col min="13575" max="13583" width="13.42578125" style="3" customWidth="1"/>
    <col min="13584" max="13828" width="9.140625" style="3"/>
    <col min="13829" max="13829" width="37.5703125" style="3" customWidth="1"/>
    <col min="13830" max="13830" width="12.5703125" style="3" customWidth="1"/>
    <col min="13831" max="13839" width="13.42578125" style="3" customWidth="1"/>
    <col min="13840" max="14084" width="9.140625" style="3"/>
    <col min="14085" max="14085" width="37.5703125" style="3" customWidth="1"/>
    <col min="14086" max="14086" width="12.5703125" style="3" customWidth="1"/>
    <col min="14087" max="14095" width="13.42578125" style="3" customWidth="1"/>
    <col min="14096" max="14340" width="9.140625" style="3"/>
    <col min="14341" max="14341" width="37.5703125" style="3" customWidth="1"/>
    <col min="14342" max="14342" width="12.5703125" style="3" customWidth="1"/>
    <col min="14343" max="14351" width="13.42578125" style="3" customWidth="1"/>
    <col min="14352" max="14596" width="9.140625" style="3"/>
    <col min="14597" max="14597" width="37.5703125" style="3" customWidth="1"/>
    <col min="14598" max="14598" width="12.5703125" style="3" customWidth="1"/>
    <col min="14599" max="14607" width="13.42578125" style="3" customWidth="1"/>
    <col min="14608" max="14852" width="9.140625" style="3"/>
    <col min="14853" max="14853" width="37.5703125" style="3" customWidth="1"/>
    <col min="14854" max="14854" width="12.5703125" style="3" customWidth="1"/>
    <col min="14855" max="14863" width="13.42578125" style="3" customWidth="1"/>
    <col min="14864" max="15108" width="9.140625" style="3"/>
    <col min="15109" max="15109" width="37.5703125" style="3" customWidth="1"/>
    <col min="15110" max="15110" width="12.5703125" style="3" customWidth="1"/>
    <col min="15111" max="15119" width="13.42578125" style="3" customWidth="1"/>
    <col min="15120" max="15364" width="9.140625" style="3"/>
    <col min="15365" max="15365" width="37.5703125" style="3" customWidth="1"/>
    <col min="15366" max="15366" width="12.5703125" style="3" customWidth="1"/>
    <col min="15367" max="15375" width="13.42578125" style="3" customWidth="1"/>
    <col min="15376" max="15620" width="9.140625" style="3"/>
    <col min="15621" max="15621" width="37.5703125" style="3" customWidth="1"/>
    <col min="15622" max="15622" width="12.5703125" style="3" customWidth="1"/>
    <col min="15623" max="15631" width="13.42578125" style="3" customWidth="1"/>
    <col min="15632" max="15876" width="9.140625" style="3"/>
    <col min="15877" max="15877" width="37.5703125" style="3" customWidth="1"/>
    <col min="15878" max="15878" width="12.5703125" style="3" customWidth="1"/>
    <col min="15879" max="15887" width="13.42578125" style="3" customWidth="1"/>
    <col min="15888" max="16132" width="9.140625" style="3"/>
    <col min="16133" max="16133" width="37.5703125" style="3" customWidth="1"/>
    <col min="16134" max="16134" width="12.5703125" style="3" customWidth="1"/>
    <col min="16135" max="16143" width="13.42578125" style="3" customWidth="1"/>
    <col min="16144" max="16384" width="9.140625" style="3"/>
  </cols>
  <sheetData>
    <row r="1" spans="1:20" ht="32.25">
      <c r="A1" s="1"/>
      <c r="B1" s="2"/>
      <c r="C1" s="2"/>
      <c r="E1" s="1" t="s">
        <v>4</v>
      </c>
      <c r="F1" s="2"/>
      <c r="H1" s="1" t="s">
        <v>114</v>
      </c>
      <c r="I1" s="2"/>
    </row>
    <row r="2" spans="1:20" ht="23.25">
      <c r="A2" s="27" t="s">
        <v>15</v>
      </c>
      <c r="B2" s="2"/>
      <c r="C2" s="2"/>
      <c r="E2" s="418" t="s">
        <v>635</v>
      </c>
      <c r="F2" s="2"/>
      <c r="H2" s="27" t="s">
        <v>115</v>
      </c>
      <c r="I2" s="2"/>
    </row>
    <row r="3" spans="1:20" s="34" customFormat="1" ht="15.75" thickBot="1">
      <c r="A3" s="46" t="s">
        <v>74</v>
      </c>
      <c r="B3" s="32"/>
      <c r="C3" s="32"/>
      <c r="E3" s="32"/>
      <c r="F3" s="33"/>
      <c r="G3" s="30"/>
      <c r="H3" s="32" t="s">
        <v>396</v>
      </c>
      <c r="I3" s="33"/>
      <c r="J3" s="3"/>
      <c r="K3" s="3"/>
      <c r="L3" s="3"/>
      <c r="M3" s="3"/>
      <c r="N3" s="3"/>
      <c r="O3" s="3"/>
      <c r="P3" s="3"/>
      <c r="Q3" s="3"/>
      <c r="R3" s="3"/>
      <c r="S3" s="3"/>
      <c r="T3" s="3"/>
    </row>
    <row r="4" spans="1:20">
      <c r="A4"/>
      <c r="B4" t="s">
        <v>453</v>
      </c>
      <c r="C4" s="117">
        <f>IF('Helper Sheet'!$D$3&gt;'Helper Sheet'!$D$4,'Cash Flow Analysis'!C4,'IS Analysis'!C4)</f>
        <v>1</v>
      </c>
      <c r="E4" s="29" t="s">
        <v>0</v>
      </c>
      <c r="F4" s="414">
        <f>'Cost of Ownership Calculation'!G5</f>
        <v>1706883.0761538462</v>
      </c>
      <c r="G4" s="42"/>
      <c r="H4" s="29" t="s">
        <v>117</v>
      </c>
      <c r="I4" s="420">
        <f>IF($C$15="SAT 46",'Data Center Job Stats'!B21,IF($C$15="CYS08",'Data Center Job Stats'!B7,IF($C$15="Average",'Data Center Job Stats'!B43)))</f>
        <v>252091.32013579409</v>
      </c>
    </row>
    <row r="5" spans="1:20">
      <c r="A5"/>
      <c r="B5" t="s">
        <v>454</v>
      </c>
      <c r="C5" s="117">
        <f>IF('Helper Sheet'!$D$3&gt;'Helper Sheet'!$D$4,'Cash Flow Analysis'!C5,'IS Analysis'!C5)</f>
        <v>0</v>
      </c>
      <c r="E5" s="29" t="s">
        <v>20</v>
      </c>
      <c r="F5" s="414">
        <f ca="1">'Cost of Ownership Calculation'!G6</f>
        <v>21000</v>
      </c>
      <c r="G5" s="42"/>
      <c r="H5" s="29" t="s">
        <v>118</v>
      </c>
      <c r="I5" s="420">
        <f>IF($C$15="SAT 46",'Data Center Job Stats'!B22,IF($C$15="CYS08",'Data Center Job Stats'!B8,IF($C$15="Average",'Data Center Job Stats'!B44)))</f>
        <v>53846.423519441858</v>
      </c>
    </row>
    <row r="6" spans="1:20" ht="15.75" thickBot="1">
      <c r="A6"/>
      <c r="B6" t="s">
        <v>551</v>
      </c>
      <c r="C6" s="117">
        <f>((C19+3)*C4)+((C25+3)*C5)</f>
        <v>13</v>
      </c>
      <c r="E6" s="51" t="s">
        <v>383</v>
      </c>
      <c r="F6" s="415">
        <f ca="1">'Cost of Ownership Calculation'!G7</f>
        <v>1727883.0761538462</v>
      </c>
      <c r="G6" s="42"/>
      <c r="H6" s="29" t="s">
        <v>209</v>
      </c>
      <c r="I6" s="420">
        <f>IF($C$15="SAT 46",'Data Center Job Stats'!B23,IF($C$15="CYS08",'Data Center Job Stats'!B9,IF($C$15="Average",'Data Center Job Stats'!B45)))</f>
        <v>26875.278301285296</v>
      </c>
    </row>
    <row r="7" spans="1:20">
      <c r="A7"/>
      <c r="B7"/>
      <c r="C7" s="117"/>
      <c r="E7" s="29" t="s">
        <v>1</v>
      </c>
      <c r="F7" s="414">
        <f ca="1">'Cost of Ownership Calculation'!G8</f>
        <v>6286.7401334453789</v>
      </c>
      <c r="G7" s="43"/>
      <c r="H7" s="29" t="s">
        <v>208</v>
      </c>
      <c r="I7" s="427">
        <f>C4</f>
        <v>1</v>
      </c>
    </row>
    <row r="8" spans="1:20">
      <c r="A8"/>
      <c r="B8" s="295" t="s">
        <v>223</v>
      </c>
      <c r="C8" s="117"/>
      <c r="E8" s="29" t="s">
        <v>2</v>
      </c>
      <c r="F8" s="416">
        <f>'Cost of Ownership Calculation'!G9</f>
        <v>40000</v>
      </c>
      <c r="G8" s="44"/>
      <c r="H8" s="112" t="s">
        <v>116</v>
      </c>
      <c r="I8" s="422">
        <f>SUM(I4:I6)*I7</f>
        <v>332813.02195652126</v>
      </c>
    </row>
    <row r="9" spans="1:20">
      <c r="A9"/>
      <c r="B9" t="s">
        <v>500</v>
      </c>
      <c r="C9" s="393">
        <f>IF('Helper Sheet'!$D$3&gt;'Helper Sheet'!$D$4,'Cash Flow Analysis'!C8,'IS Analysis'!C8)</f>
        <v>0</v>
      </c>
      <c r="E9" s="29" t="s">
        <v>3</v>
      </c>
      <c r="F9" s="414">
        <f ca="1">'Cost of Ownership Calculation'!G10</f>
        <v>189000</v>
      </c>
      <c r="G9" s="44"/>
      <c r="H9" s="29"/>
      <c r="I9" s="420"/>
    </row>
    <row r="10" spans="1:20" ht="15.75" thickBot="1">
      <c r="A10"/>
      <c r="B10" t="s">
        <v>501</v>
      </c>
      <c r="C10" s="393">
        <f>IF('Helper Sheet'!$D$3&gt;'Helper Sheet'!$D$4,'Cash Flow Analysis'!C9,'IS Analysis'!C9)</f>
        <v>68</v>
      </c>
      <c r="E10" s="29" t="s">
        <v>752</v>
      </c>
      <c r="F10" s="414">
        <f>'Cost of Ownership Calculation'!G12</f>
        <v>114400</v>
      </c>
      <c r="H10" s="32" t="s">
        <v>397</v>
      </c>
      <c r="I10" s="423"/>
    </row>
    <row r="11" spans="1:20">
      <c r="A11"/>
      <c r="B11"/>
      <c r="C11" s="393"/>
      <c r="E11" s="29" t="s">
        <v>210</v>
      </c>
      <c r="F11" s="414">
        <f ca="1">'Cost of Ownership Calculation'!G11</f>
        <v>-258853.19991031324</v>
      </c>
      <c r="H11" s="29" t="s">
        <v>117</v>
      </c>
      <c r="I11" s="420">
        <f>IF($C$22="Fedora Ft. Worth",'Outfit Job Stats'!B21,IF($C$22="Fedora Manassas",'Outfit Job Stats'!B7,'Outfit Job Stats'!B36))</f>
        <v>3644.3727031441404</v>
      </c>
    </row>
    <row r="12" spans="1:20" ht="15.75" thickBot="1">
      <c r="A12"/>
      <c r="B12" t="s">
        <v>556</v>
      </c>
      <c r="C12" s="425">
        <f>2000000</f>
        <v>2000000</v>
      </c>
      <c r="E12" s="45" t="s">
        <v>21</v>
      </c>
      <c r="F12" s="417">
        <f ca="1">SUM(F7:F11)</f>
        <v>90833.54022313212</v>
      </c>
      <c r="H12" s="29" t="s">
        <v>118</v>
      </c>
      <c r="I12" s="420">
        <f>IF($C$22="Fedora Ft. Worth",'Outfit Job Stats'!B22,IF($C$22="Fedora Manassas",'Outfit Job Stats'!B8,'Outfit Job Stats'!B37))</f>
        <v>1343.4992125065623</v>
      </c>
    </row>
    <row r="13" spans="1:20">
      <c r="A13"/>
      <c r="B13"/>
      <c r="C13" s="393"/>
      <c r="E13"/>
      <c r="F13"/>
      <c r="G13" s="42"/>
      <c r="H13" s="236" t="s">
        <v>209</v>
      </c>
      <c r="I13" s="420">
        <f>IF($C$22="Fedora Ft. Worth",'Outfit Job Stats'!B23,IF($C$22="Fedora Manassas",'Outfit Job Stats'!B9,'Outfit Job Stats'!B38))</f>
        <v>1387.583084349297</v>
      </c>
    </row>
    <row r="14" spans="1:20" ht="15.75" thickBot="1">
      <c r="A14" s="46" t="s">
        <v>398</v>
      </c>
      <c r="B14" s="32"/>
      <c r="C14" s="32"/>
      <c r="E14" s="42"/>
      <c r="F14" s="42"/>
      <c r="G14" s="42"/>
      <c r="H14" s="236" t="s">
        <v>208</v>
      </c>
      <c r="I14" s="427">
        <f>C5</f>
        <v>0</v>
      </c>
    </row>
    <row r="15" spans="1:20">
      <c r="A15" s="46"/>
      <c r="B15" t="s">
        <v>425</v>
      </c>
      <c r="C15" s="113" t="s">
        <v>618</v>
      </c>
      <c r="E15" s="42"/>
      <c r="F15" s="42"/>
      <c r="G15" s="42"/>
      <c r="H15" s="112" t="s">
        <v>116</v>
      </c>
      <c r="I15" s="422">
        <f>SUM(I11:I13)*I14</f>
        <v>0</v>
      </c>
    </row>
    <row r="16" spans="1:20">
      <c r="A16"/>
      <c r="B16" t="s">
        <v>76</v>
      </c>
      <c r="C16" s="64">
        <f>IF($C$15="SAT 46",'Data Center Job Stats'!B27,IF($C$15="CYS08",'Data Center Job Stats'!B13,IF($C$15="Average",'Data Center Job Stats'!B51)))</f>
        <v>1</v>
      </c>
      <c r="E16" s="42"/>
      <c r="F16" s="42"/>
      <c r="G16" s="426"/>
      <c r="H16" s="236"/>
      <c r="I16" s="420"/>
    </row>
    <row r="17" spans="1:9" ht="15.75" thickBot="1">
      <c r="A17"/>
      <c r="B17" t="s">
        <v>77</v>
      </c>
      <c r="C17" s="64">
        <f>IF($C$15="SAT 46",SUM('Data Center Job Stats'!B28:B29),IF($C$15="CYS08",SUM('Data Center Job Stats'!B14:B15),IF($C$15="Average",'Data Center Job Stats'!B52)))</f>
        <v>62</v>
      </c>
      <c r="E17" s="42"/>
      <c r="F17" s="42"/>
      <c r="H17" s="45" t="s">
        <v>645</v>
      </c>
      <c r="I17" s="419">
        <f>SUM(I15,I8)</f>
        <v>332813.02195652126</v>
      </c>
    </row>
    <row r="18" spans="1:9">
      <c r="A18"/>
      <c r="B18" t="s">
        <v>220</v>
      </c>
      <c r="C18" s="64">
        <f>IF($C$15="SAT 46",'Data Center Job Stats'!B30,IF($C$15="CYS08",'Data Center Job Stats'!B16,IF($C$15="Average",'Data Center Job Stats'!B53)))</f>
        <v>6</v>
      </c>
      <c r="H18" s="227"/>
      <c r="I18" s="440"/>
    </row>
    <row r="19" spans="1:9">
      <c r="A19"/>
      <c r="B19" t="s">
        <v>99</v>
      </c>
      <c r="C19" s="64">
        <f>IF($C$15="SAT 46",'Data Center Job Stats'!C30,IF($C$15="CYS08",'Data Center Job Stats'!C16,IF($C$15="Average",'Data Center Job Stats'!C53)))</f>
        <v>10</v>
      </c>
      <c r="G19" s="42"/>
      <c r="H19" s="236" t="s">
        <v>644</v>
      </c>
      <c r="I19" s="420">
        <f ca="1">-'Dynamic Tracking Chart'!Y4</f>
        <v>-33909.770065856916</v>
      </c>
    </row>
    <row r="20" spans="1:9">
      <c r="A20"/>
      <c r="B20"/>
      <c r="C20" s="35"/>
      <c r="E20" s="42"/>
      <c r="F20" s="42"/>
      <c r="G20" s="42"/>
      <c r="H20" s="29"/>
      <c r="I20" s="420"/>
    </row>
    <row r="21" spans="1:9" ht="15.75" thickBot="1">
      <c r="A21" s="46" t="s">
        <v>399</v>
      </c>
      <c r="B21" s="32"/>
      <c r="C21" s="32"/>
      <c r="E21" s="42"/>
      <c r="F21" s="42"/>
      <c r="G21" s="42"/>
      <c r="H21" s="45" t="s">
        <v>643</v>
      </c>
      <c r="I21" s="419">
        <f ca="1">SUM(I15,I8,I19)</f>
        <v>298903.25189066434</v>
      </c>
    </row>
    <row r="22" spans="1:9">
      <c r="A22" s="46"/>
      <c r="B22" t="s">
        <v>424</v>
      </c>
      <c r="C22" s="113" t="s">
        <v>618</v>
      </c>
      <c r="E22" s="42"/>
      <c r="F22" s="42"/>
      <c r="G22" s="42"/>
      <c r="H22"/>
      <c r="I22"/>
    </row>
    <row r="23" spans="1:9">
      <c r="A23"/>
      <c r="B23" t="s">
        <v>76</v>
      </c>
      <c r="C23" s="35">
        <v>0</v>
      </c>
      <c r="E23" s="42"/>
      <c r="F23" s="42"/>
      <c r="G23" s="42"/>
    </row>
    <row r="24" spans="1:9">
      <c r="A24"/>
      <c r="B24" t="s">
        <v>77</v>
      </c>
      <c r="C24" s="64">
        <f>IF(C22="Fedora Ft. Worth",SUM('Outfit Job Stats'!B29,'Outfit Job Stats'!B30),SUM('Outfit Job Stats'!B15:B16))</f>
        <v>4</v>
      </c>
      <c r="E24" s="42"/>
      <c r="F24" s="42"/>
      <c r="G24" s="42"/>
    </row>
    <row r="25" spans="1:9">
      <c r="A25"/>
      <c r="B25" t="s">
        <v>99</v>
      </c>
      <c r="C25" s="64">
        <f>IF($C$22="Fedora Ft. Worth",'Outfit Job Stats'!C30,IF($C$22="Fedora Manassas",'Outfit Job Stats'!C16,'Outfit Job Stats'!C46))</f>
        <v>3</v>
      </c>
      <c r="E25" s="42"/>
      <c r="F25" s="42"/>
      <c r="G25" s="42"/>
      <c r="H25" s="42"/>
      <c r="I25" s="42"/>
    </row>
    <row r="26" spans="1:9">
      <c r="A26"/>
      <c r="B26"/>
      <c r="C26" s="64"/>
      <c r="E26" s="42"/>
      <c r="F26" s="42"/>
    </row>
    <row r="27" spans="1:9">
      <c r="A27"/>
      <c r="B27"/>
      <c r="C27" s="64"/>
    </row>
    <row r="30" spans="1:9">
      <c r="A30" s="332" t="s">
        <v>552</v>
      </c>
      <c r="B30" s="2"/>
      <c r="C30" s="2"/>
    </row>
    <row r="31" spans="1:9">
      <c r="A31" s="29"/>
      <c r="B31" s="75" t="s">
        <v>553</v>
      </c>
      <c r="C31" s="75" t="b">
        <f ca="1">IF(F6&lt;=C12,TRUE,FALSE)</f>
        <v>1</v>
      </c>
    </row>
    <row r="32" spans="1:9">
      <c r="A32" s="29"/>
      <c r="B32" s="75" t="s">
        <v>555</v>
      </c>
      <c r="C32" s="75" t="b">
        <f>IF(C6&lt;=52,TRUE,FALSE)</f>
        <v>1</v>
      </c>
    </row>
    <row r="33" spans="1:3">
      <c r="A33" s="29"/>
      <c r="B33" s="75" t="s">
        <v>554</v>
      </c>
      <c r="C33" s="75" t="b">
        <f>IF('Cost of Ownership Calculation'!I26&lt;='Cost of Ownership Calculation'!C11,TRUE,FALSE)</f>
        <v>1</v>
      </c>
    </row>
    <row r="34" spans="1:3">
      <c r="A34" s="29"/>
      <c r="B34" s="75"/>
      <c r="C34" s="75"/>
    </row>
  </sheetData>
  <phoneticPr fontId="54" type="noConversion"/>
  <conditionalFormatting sqref="C31:C33">
    <cfRule type="cellIs" dxfId="87" priority="1" operator="equal">
      <formula>FALSE</formula>
    </cfRule>
    <cfRule type="cellIs" dxfId="86" priority="2" operator="equal">
      <formula>TRUE</formula>
    </cfRule>
  </conditionalFormatting>
  <dataValidations count="2">
    <dataValidation type="list" allowBlank="1" showInputMessage="1" showErrorMessage="1" sqref="C15" xr:uid="{C5AF8D68-CC42-4EB9-94CA-E30AB1542B68}">
      <formula1>"SAT 46, CYS08, Average"</formula1>
    </dataValidation>
    <dataValidation type="list" allowBlank="1" showInputMessage="1" showErrorMessage="1" sqref="C22" xr:uid="{1624880C-1C6E-43AD-BBA2-60D8CB03B12E}">
      <formula1>"Fedora Manassas, Fedora Ft. Worth, Average"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91026-1B57-4D8D-A96F-6108CFB37E92}">
  <sheetPr codeName="Sheet3">
    <tabColor rgb="FFFFFF00"/>
  </sheetPr>
  <dimension ref="A1:V36"/>
  <sheetViews>
    <sheetView topLeftCell="D1" zoomScale="85" zoomScaleNormal="85" workbookViewId="0">
      <selection activeCell="N36" sqref="N36"/>
    </sheetView>
  </sheetViews>
  <sheetFormatPr defaultRowHeight="15"/>
  <cols>
    <col min="1" max="1" width="3.85546875" style="3" customWidth="1"/>
    <col min="2" max="2" width="30.85546875" style="3" customWidth="1"/>
    <col min="3" max="3" width="19.42578125" style="3" bestFit="1" customWidth="1"/>
    <col min="4" max="4" width="9.140625" style="3"/>
    <col min="5" max="5" width="7.5703125" style="3" customWidth="1"/>
    <col min="6" max="6" width="43.28515625" style="3" customWidth="1"/>
    <col min="7" max="7" width="16.5703125" style="3" bestFit="1" customWidth="1"/>
    <col min="8" max="8" width="16.140625" style="3" bestFit="1" customWidth="1"/>
    <col min="9" max="9" width="22" style="3" bestFit="1" customWidth="1"/>
    <col min="10" max="10" width="11.7109375" style="3" bestFit="1" customWidth="1"/>
    <col min="11" max="11" width="14.5703125" style="3" bestFit="1" customWidth="1"/>
    <col min="12" max="12" width="15" style="3" bestFit="1" customWidth="1"/>
    <col min="13" max="13" width="11.140625" style="3" bestFit="1" customWidth="1"/>
    <col min="14" max="14" width="12.140625" style="3" bestFit="1" customWidth="1"/>
    <col min="15" max="15" width="13.85546875" style="3" bestFit="1" customWidth="1"/>
    <col min="16" max="16" width="16.7109375" style="3" bestFit="1" customWidth="1"/>
    <col min="17" max="17" width="13.42578125" style="3" bestFit="1" customWidth="1"/>
    <col min="18" max="18" width="9.140625" style="3"/>
    <col min="19" max="20" width="11.28515625" style="3" bestFit="1" customWidth="1"/>
    <col min="21" max="260" width="9.140625" style="3"/>
    <col min="261" max="261" width="37.5703125" style="3" customWidth="1"/>
    <col min="262" max="262" width="12.5703125" style="3" customWidth="1"/>
    <col min="263" max="271" width="13.42578125" style="3" customWidth="1"/>
    <col min="272" max="516" width="9.140625" style="3"/>
    <col min="517" max="517" width="37.5703125" style="3" customWidth="1"/>
    <col min="518" max="518" width="12.5703125" style="3" customWidth="1"/>
    <col min="519" max="527" width="13.42578125" style="3" customWidth="1"/>
    <col min="528" max="772" width="9.140625" style="3"/>
    <col min="773" max="773" width="37.5703125" style="3" customWidth="1"/>
    <col min="774" max="774" width="12.5703125" style="3" customWidth="1"/>
    <col min="775" max="783" width="13.42578125" style="3" customWidth="1"/>
    <col min="784" max="1028" width="9.140625" style="3"/>
    <col min="1029" max="1029" width="37.5703125" style="3" customWidth="1"/>
    <col min="1030" max="1030" width="12.5703125" style="3" customWidth="1"/>
    <col min="1031" max="1039" width="13.42578125" style="3" customWidth="1"/>
    <col min="1040" max="1284" width="9.140625" style="3"/>
    <col min="1285" max="1285" width="37.5703125" style="3" customWidth="1"/>
    <col min="1286" max="1286" width="12.5703125" style="3" customWidth="1"/>
    <col min="1287" max="1295" width="13.42578125" style="3" customWidth="1"/>
    <col min="1296" max="1540" width="9.140625" style="3"/>
    <col min="1541" max="1541" width="37.5703125" style="3" customWidth="1"/>
    <col min="1542" max="1542" width="12.5703125" style="3" customWidth="1"/>
    <col min="1543" max="1551" width="13.42578125" style="3" customWidth="1"/>
    <col min="1552" max="1796" width="9.140625" style="3"/>
    <col min="1797" max="1797" width="37.5703125" style="3" customWidth="1"/>
    <col min="1798" max="1798" width="12.5703125" style="3" customWidth="1"/>
    <col min="1799" max="1807" width="13.42578125" style="3" customWidth="1"/>
    <col min="1808" max="2052" width="9.140625" style="3"/>
    <col min="2053" max="2053" width="37.5703125" style="3" customWidth="1"/>
    <col min="2054" max="2054" width="12.5703125" style="3" customWidth="1"/>
    <col min="2055" max="2063" width="13.42578125" style="3" customWidth="1"/>
    <col min="2064" max="2308" width="9.140625" style="3"/>
    <col min="2309" max="2309" width="37.5703125" style="3" customWidth="1"/>
    <col min="2310" max="2310" width="12.5703125" style="3" customWidth="1"/>
    <col min="2311" max="2319" width="13.42578125" style="3" customWidth="1"/>
    <col min="2320" max="2564" width="9.140625" style="3"/>
    <col min="2565" max="2565" width="37.5703125" style="3" customWidth="1"/>
    <col min="2566" max="2566" width="12.5703125" style="3" customWidth="1"/>
    <col min="2567" max="2575" width="13.42578125" style="3" customWidth="1"/>
    <col min="2576" max="2820" width="9.140625" style="3"/>
    <col min="2821" max="2821" width="37.5703125" style="3" customWidth="1"/>
    <col min="2822" max="2822" width="12.5703125" style="3" customWidth="1"/>
    <col min="2823" max="2831" width="13.42578125" style="3" customWidth="1"/>
    <col min="2832" max="3076" width="9.140625" style="3"/>
    <col min="3077" max="3077" width="37.5703125" style="3" customWidth="1"/>
    <col min="3078" max="3078" width="12.5703125" style="3" customWidth="1"/>
    <col min="3079" max="3087" width="13.42578125" style="3" customWidth="1"/>
    <col min="3088" max="3332" width="9.140625" style="3"/>
    <col min="3333" max="3333" width="37.5703125" style="3" customWidth="1"/>
    <col min="3334" max="3334" width="12.5703125" style="3" customWidth="1"/>
    <col min="3335" max="3343" width="13.42578125" style="3" customWidth="1"/>
    <col min="3344" max="3588" width="9.140625" style="3"/>
    <col min="3589" max="3589" width="37.5703125" style="3" customWidth="1"/>
    <col min="3590" max="3590" width="12.5703125" style="3" customWidth="1"/>
    <col min="3591" max="3599" width="13.42578125" style="3" customWidth="1"/>
    <col min="3600" max="3844" width="9.140625" style="3"/>
    <col min="3845" max="3845" width="37.5703125" style="3" customWidth="1"/>
    <col min="3846" max="3846" width="12.5703125" style="3" customWidth="1"/>
    <col min="3847" max="3855" width="13.42578125" style="3" customWidth="1"/>
    <col min="3856" max="4100" width="9.140625" style="3"/>
    <col min="4101" max="4101" width="37.5703125" style="3" customWidth="1"/>
    <col min="4102" max="4102" width="12.5703125" style="3" customWidth="1"/>
    <col min="4103" max="4111" width="13.42578125" style="3" customWidth="1"/>
    <col min="4112" max="4356" width="9.140625" style="3"/>
    <col min="4357" max="4357" width="37.5703125" style="3" customWidth="1"/>
    <col min="4358" max="4358" width="12.5703125" style="3" customWidth="1"/>
    <col min="4359" max="4367" width="13.42578125" style="3" customWidth="1"/>
    <col min="4368" max="4612" width="9.140625" style="3"/>
    <col min="4613" max="4613" width="37.5703125" style="3" customWidth="1"/>
    <col min="4614" max="4614" width="12.5703125" style="3" customWidth="1"/>
    <col min="4615" max="4623" width="13.42578125" style="3" customWidth="1"/>
    <col min="4624" max="4868" width="9.140625" style="3"/>
    <col min="4869" max="4869" width="37.5703125" style="3" customWidth="1"/>
    <col min="4870" max="4870" width="12.5703125" style="3" customWidth="1"/>
    <col min="4871" max="4879" width="13.42578125" style="3" customWidth="1"/>
    <col min="4880" max="5124" width="9.140625" style="3"/>
    <col min="5125" max="5125" width="37.5703125" style="3" customWidth="1"/>
    <col min="5126" max="5126" width="12.5703125" style="3" customWidth="1"/>
    <col min="5127" max="5135" width="13.42578125" style="3" customWidth="1"/>
    <col min="5136" max="5380" width="9.140625" style="3"/>
    <col min="5381" max="5381" width="37.5703125" style="3" customWidth="1"/>
    <col min="5382" max="5382" width="12.5703125" style="3" customWidth="1"/>
    <col min="5383" max="5391" width="13.42578125" style="3" customWidth="1"/>
    <col min="5392" max="5636" width="9.140625" style="3"/>
    <col min="5637" max="5637" width="37.5703125" style="3" customWidth="1"/>
    <col min="5638" max="5638" width="12.5703125" style="3" customWidth="1"/>
    <col min="5639" max="5647" width="13.42578125" style="3" customWidth="1"/>
    <col min="5648" max="5892" width="9.140625" style="3"/>
    <col min="5893" max="5893" width="37.5703125" style="3" customWidth="1"/>
    <col min="5894" max="5894" width="12.5703125" style="3" customWidth="1"/>
    <col min="5895" max="5903" width="13.42578125" style="3" customWidth="1"/>
    <col min="5904" max="6148" width="9.140625" style="3"/>
    <col min="6149" max="6149" width="37.5703125" style="3" customWidth="1"/>
    <col min="6150" max="6150" width="12.5703125" style="3" customWidth="1"/>
    <col min="6151" max="6159" width="13.42578125" style="3" customWidth="1"/>
    <col min="6160" max="6404" width="9.140625" style="3"/>
    <col min="6405" max="6405" width="37.5703125" style="3" customWidth="1"/>
    <col min="6406" max="6406" width="12.5703125" style="3" customWidth="1"/>
    <col min="6407" max="6415" width="13.42578125" style="3" customWidth="1"/>
    <col min="6416" max="6660" width="9.140625" style="3"/>
    <col min="6661" max="6661" width="37.5703125" style="3" customWidth="1"/>
    <col min="6662" max="6662" width="12.5703125" style="3" customWidth="1"/>
    <col min="6663" max="6671" width="13.42578125" style="3" customWidth="1"/>
    <col min="6672" max="6916" width="9.140625" style="3"/>
    <col min="6917" max="6917" width="37.5703125" style="3" customWidth="1"/>
    <col min="6918" max="6918" width="12.5703125" style="3" customWidth="1"/>
    <col min="6919" max="6927" width="13.42578125" style="3" customWidth="1"/>
    <col min="6928" max="7172" width="9.140625" style="3"/>
    <col min="7173" max="7173" width="37.5703125" style="3" customWidth="1"/>
    <col min="7174" max="7174" width="12.5703125" style="3" customWidth="1"/>
    <col min="7175" max="7183" width="13.42578125" style="3" customWidth="1"/>
    <col min="7184" max="7428" width="9.140625" style="3"/>
    <col min="7429" max="7429" width="37.5703125" style="3" customWidth="1"/>
    <col min="7430" max="7430" width="12.5703125" style="3" customWidth="1"/>
    <col min="7431" max="7439" width="13.42578125" style="3" customWidth="1"/>
    <col min="7440" max="7684" width="9.140625" style="3"/>
    <col min="7685" max="7685" width="37.5703125" style="3" customWidth="1"/>
    <col min="7686" max="7686" width="12.5703125" style="3" customWidth="1"/>
    <col min="7687" max="7695" width="13.42578125" style="3" customWidth="1"/>
    <col min="7696" max="7940" width="9.140625" style="3"/>
    <col min="7941" max="7941" width="37.5703125" style="3" customWidth="1"/>
    <col min="7942" max="7942" width="12.5703125" style="3" customWidth="1"/>
    <col min="7943" max="7951" width="13.42578125" style="3" customWidth="1"/>
    <col min="7952" max="8196" width="9.140625" style="3"/>
    <col min="8197" max="8197" width="37.5703125" style="3" customWidth="1"/>
    <col min="8198" max="8198" width="12.5703125" style="3" customWidth="1"/>
    <col min="8199" max="8207" width="13.42578125" style="3" customWidth="1"/>
    <col min="8208" max="8452" width="9.140625" style="3"/>
    <col min="8453" max="8453" width="37.5703125" style="3" customWidth="1"/>
    <col min="8454" max="8454" width="12.5703125" style="3" customWidth="1"/>
    <col min="8455" max="8463" width="13.42578125" style="3" customWidth="1"/>
    <col min="8464" max="8708" width="9.140625" style="3"/>
    <col min="8709" max="8709" width="37.5703125" style="3" customWidth="1"/>
    <col min="8710" max="8710" width="12.5703125" style="3" customWidth="1"/>
    <col min="8711" max="8719" width="13.42578125" style="3" customWidth="1"/>
    <col min="8720" max="8964" width="9.140625" style="3"/>
    <col min="8965" max="8965" width="37.5703125" style="3" customWidth="1"/>
    <col min="8966" max="8966" width="12.5703125" style="3" customWidth="1"/>
    <col min="8967" max="8975" width="13.42578125" style="3" customWidth="1"/>
    <col min="8976" max="9220" width="9.140625" style="3"/>
    <col min="9221" max="9221" width="37.5703125" style="3" customWidth="1"/>
    <col min="9222" max="9222" width="12.5703125" style="3" customWidth="1"/>
    <col min="9223" max="9231" width="13.42578125" style="3" customWidth="1"/>
    <col min="9232" max="9476" width="9.140625" style="3"/>
    <col min="9477" max="9477" width="37.5703125" style="3" customWidth="1"/>
    <col min="9478" max="9478" width="12.5703125" style="3" customWidth="1"/>
    <col min="9479" max="9487" width="13.42578125" style="3" customWidth="1"/>
    <col min="9488" max="9732" width="9.140625" style="3"/>
    <col min="9733" max="9733" width="37.5703125" style="3" customWidth="1"/>
    <col min="9734" max="9734" width="12.5703125" style="3" customWidth="1"/>
    <col min="9735" max="9743" width="13.42578125" style="3" customWidth="1"/>
    <col min="9744" max="9988" width="9.140625" style="3"/>
    <col min="9989" max="9989" width="37.5703125" style="3" customWidth="1"/>
    <col min="9990" max="9990" width="12.5703125" style="3" customWidth="1"/>
    <col min="9991" max="9999" width="13.42578125" style="3" customWidth="1"/>
    <col min="10000" max="10244" width="9.140625" style="3"/>
    <col min="10245" max="10245" width="37.5703125" style="3" customWidth="1"/>
    <col min="10246" max="10246" width="12.5703125" style="3" customWidth="1"/>
    <col min="10247" max="10255" width="13.42578125" style="3" customWidth="1"/>
    <col min="10256" max="10500" width="9.140625" style="3"/>
    <col min="10501" max="10501" width="37.5703125" style="3" customWidth="1"/>
    <col min="10502" max="10502" width="12.5703125" style="3" customWidth="1"/>
    <col min="10503" max="10511" width="13.42578125" style="3" customWidth="1"/>
    <col min="10512" max="10756" width="9.140625" style="3"/>
    <col min="10757" max="10757" width="37.5703125" style="3" customWidth="1"/>
    <col min="10758" max="10758" width="12.5703125" style="3" customWidth="1"/>
    <col min="10759" max="10767" width="13.42578125" style="3" customWidth="1"/>
    <col min="10768" max="11012" width="9.140625" style="3"/>
    <col min="11013" max="11013" width="37.5703125" style="3" customWidth="1"/>
    <col min="11014" max="11014" width="12.5703125" style="3" customWidth="1"/>
    <col min="11015" max="11023" width="13.42578125" style="3" customWidth="1"/>
    <col min="11024" max="11268" width="9.140625" style="3"/>
    <col min="11269" max="11269" width="37.5703125" style="3" customWidth="1"/>
    <col min="11270" max="11270" width="12.5703125" style="3" customWidth="1"/>
    <col min="11271" max="11279" width="13.42578125" style="3" customWidth="1"/>
    <col min="11280" max="11524" width="9.140625" style="3"/>
    <col min="11525" max="11525" width="37.5703125" style="3" customWidth="1"/>
    <col min="11526" max="11526" width="12.5703125" style="3" customWidth="1"/>
    <col min="11527" max="11535" width="13.42578125" style="3" customWidth="1"/>
    <col min="11536" max="11780" width="9.140625" style="3"/>
    <col min="11781" max="11781" width="37.5703125" style="3" customWidth="1"/>
    <col min="11782" max="11782" width="12.5703125" style="3" customWidth="1"/>
    <col min="11783" max="11791" width="13.42578125" style="3" customWidth="1"/>
    <col min="11792" max="12036" width="9.140625" style="3"/>
    <col min="12037" max="12037" width="37.5703125" style="3" customWidth="1"/>
    <col min="12038" max="12038" width="12.5703125" style="3" customWidth="1"/>
    <col min="12039" max="12047" width="13.42578125" style="3" customWidth="1"/>
    <col min="12048" max="12292" width="9.140625" style="3"/>
    <col min="12293" max="12293" width="37.5703125" style="3" customWidth="1"/>
    <col min="12294" max="12294" width="12.5703125" style="3" customWidth="1"/>
    <col min="12295" max="12303" width="13.42578125" style="3" customWidth="1"/>
    <col min="12304" max="12548" width="9.140625" style="3"/>
    <col min="12549" max="12549" width="37.5703125" style="3" customWidth="1"/>
    <col min="12550" max="12550" width="12.5703125" style="3" customWidth="1"/>
    <col min="12551" max="12559" width="13.42578125" style="3" customWidth="1"/>
    <col min="12560" max="12804" width="9.140625" style="3"/>
    <col min="12805" max="12805" width="37.5703125" style="3" customWidth="1"/>
    <col min="12806" max="12806" width="12.5703125" style="3" customWidth="1"/>
    <col min="12807" max="12815" width="13.42578125" style="3" customWidth="1"/>
    <col min="12816" max="13060" width="9.140625" style="3"/>
    <col min="13061" max="13061" width="37.5703125" style="3" customWidth="1"/>
    <col min="13062" max="13062" width="12.5703125" style="3" customWidth="1"/>
    <col min="13063" max="13071" width="13.42578125" style="3" customWidth="1"/>
    <col min="13072" max="13316" width="9.140625" style="3"/>
    <col min="13317" max="13317" width="37.5703125" style="3" customWidth="1"/>
    <col min="13318" max="13318" width="12.5703125" style="3" customWidth="1"/>
    <col min="13319" max="13327" width="13.42578125" style="3" customWidth="1"/>
    <col min="13328" max="13572" width="9.140625" style="3"/>
    <col min="13573" max="13573" width="37.5703125" style="3" customWidth="1"/>
    <col min="13574" max="13574" width="12.5703125" style="3" customWidth="1"/>
    <col min="13575" max="13583" width="13.42578125" style="3" customWidth="1"/>
    <col min="13584" max="13828" width="9.140625" style="3"/>
    <col min="13829" max="13829" width="37.5703125" style="3" customWidth="1"/>
    <col min="13830" max="13830" width="12.5703125" style="3" customWidth="1"/>
    <col min="13831" max="13839" width="13.42578125" style="3" customWidth="1"/>
    <col min="13840" max="14084" width="9.140625" style="3"/>
    <col min="14085" max="14085" width="37.5703125" style="3" customWidth="1"/>
    <col min="14086" max="14086" width="12.5703125" style="3" customWidth="1"/>
    <col min="14087" max="14095" width="13.42578125" style="3" customWidth="1"/>
    <col min="14096" max="14340" width="9.140625" style="3"/>
    <col min="14341" max="14341" width="37.5703125" style="3" customWidth="1"/>
    <col min="14342" max="14342" width="12.5703125" style="3" customWidth="1"/>
    <col min="14343" max="14351" width="13.42578125" style="3" customWidth="1"/>
    <col min="14352" max="14596" width="9.140625" style="3"/>
    <col min="14597" max="14597" width="37.5703125" style="3" customWidth="1"/>
    <col min="14598" max="14598" width="12.5703125" style="3" customWidth="1"/>
    <col min="14599" max="14607" width="13.42578125" style="3" customWidth="1"/>
    <col min="14608" max="14852" width="9.140625" style="3"/>
    <col min="14853" max="14853" width="37.5703125" style="3" customWidth="1"/>
    <col min="14854" max="14854" width="12.5703125" style="3" customWidth="1"/>
    <col min="14855" max="14863" width="13.42578125" style="3" customWidth="1"/>
    <col min="14864" max="15108" width="9.140625" style="3"/>
    <col min="15109" max="15109" width="37.5703125" style="3" customWidth="1"/>
    <col min="15110" max="15110" width="12.5703125" style="3" customWidth="1"/>
    <col min="15111" max="15119" width="13.42578125" style="3" customWidth="1"/>
    <col min="15120" max="15364" width="9.140625" style="3"/>
    <col min="15365" max="15365" width="37.5703125" style="3" customWidth="1"/>
    <col min="15366" max="15366" width="12.5703125" style="3" customWidth="1"/>
    <col min="15367" max="15375" width="13.42578125" style="3" customWidth="1"/>
    <col min="15376" max="15620" width="9.140625" style="3"/>
    <col min="15621" max="15621" width="37.5703125" style="3" customWidth="1"/>
    <col min="15622" max="15622" width="12.5703125" style="3" customWidth="1"/>
    <col min="15623" max="15631" width="13.42578125" style="3" customWidth="1"/>
    <col min="15632" max="15876" width="9.140625" style="3"/>
    <col min="15877" max="15877" width="37.5703125" style="3" customWidth="1"/>
    <col min="15878" max="15878" width="12.5703125" style="3" customWidth="1"/>
    <col min="15879" max="15887" width="13.42578125" style="3" customWidth="1"/>
    <col min="15888" max="16132" width="9.140625" style="3"/>
    <col min="16133" max="16133" width="37.5703125" style="3" customWidth="1"/>
    <col min="16134" max="16134" width="12.5703125" style="3" customWidth="1"/>
    <col min="16135" max="16143" width="13.42578125" style="3" customWidth="1"/>
    <col min="16144" max="16384" width="9.140625" style="3"/>
  </cols>
  <sheetData>
    <row r="1" spans="1:22" ht="32.25">
      <c r="A1" s="1"/>
      <c r="B1" s="2"/>
      <c r="C1" s="2"/>
      <c r="E1" s="1" t="s">
        <v>4</v>
      </c>
      <c r="F1" s="2"/>
      <c r="G1" s="2"/>
      <c r="I1" s="1"/>
      <c r="J1" s="2"/>
      <c r="K1" s="2"/>
      <c r="L1" s="2"/>
      <c r="N1" s="1"/>
      <c r="O1" s="1"/>
      <c r="P1" s="1"/>
      <c r="Q1" s="2"/>
    </row>
    <row r="2" spans="1:22" ht="23.25">
      <c r="A2" s="27" t="s">
        <v>15</v>
      </c>
      <c r="B2" s="2"/>
      <c r="C2" s="2"/>
      <c r="E2" s="27"/>
      <c r="F2" s="2"/>
      <c r="G2" s="2"/>
      <c r="I2" s="27" t="s">
        <v>0</v>
      </c>
      <c r="J2" s="2"/>
      <c r="K2" s="2"/>
      <c r="L2" s="2"/>
      <c r="N2" s="27" t="s">
        <v>1</v>
      </c>
      <c r="O2" s="27"/>
      <c r="P2" s="27"/>
      <c r="Q2" s="2"/>
    </row>
    <row r="3" spans="1:22" s="30" customFormat="1" ht="21" thickBot="1">
      <c r="A3" s="46" t="s">
        <v>601</v>
      </c>
      <c r="B3" s="32"/>
      <c r="C3" s="32"/>
      <c r="E3" s="28"/>
      <c r="F3" s="29"/>
      <c r="G3" s="29"/>
      <c r="I3" s="28"/>
      <c r="J3" s="29"/>
      <c r="K3" s="29"/>
      <c r="L3" s="29"/>
      <c r="N3" s="28"/>
      <c r="O3" s="28"/>
      <c r="P3" s="28"/>
      <c r="Q3" s="29"/>
      <c r="S3" s="3"/>
      <c r="T3" s="3"/>
      <c r="U3" s="3"/>
      <c r="V3" s="3"/>
    </row>
    <row r="4" spans="1:22" s="34" customFormat="1" ht="15.75" thickBot="1">
      <c r="A4" s="46"/>
      <c r="B4"/>
      <c r="C4" s="113"/>
      <c r="E4" s="31"/>
      <c r="F4" s="32"/>
      <c r="G4" s="33"/>
      <c r="H4" s="30"/>
      <c r="I4" s="32" t="s">
        <v>18</v>
      </c>
      <c r="J4" s="32" t="s">
        <v>14</v>
      </c>
      <c r="K4" s="32" t="s">
        <v>6</v>
      </c>
      <c r="L4" s="32" t="s">
        <v>8</v>
      </c>
      <c r="N4" s="32"/>
      <c r="O4" s="32" t="s">
        <v>588</v>
      </c>
      <c r="P4" s="32" t="s">
        <v>589</v>
      </c>
      <c r="Q4" s="32" t="s">
        <v>8</v>
      </c>
      <c r="S4" s="3"/>
      <c r="T4" s="3"/>
      <c r="U4" s="3"/>
      <c r="V4" s="3"/>
    </row>
    <row r="5" spans="1:22">
      <c r="A5" s="395" t="str">
        <f>C5</f>
        <v>ASCO</v>
      </c>
      <c r="B5" t="s">
        <v>602</v>
      </c>
      <c r="C5" s="396" t="s">
        <v>229</v>
      </c>
      <c r="E5"/>
      <c r="F5" s="29" t="s">
        <v>0</v>
      </c>
      <c r="G5" s="48">
        <f>L8</f>
        <v>1706883.0761538462</v>
      </c>
      <c r="H5" s="42"/>
      <c r="I5" t="s">
        <v>17</v>
      </c>
      <c r="J5" s="35">
        <f>'Master Tab'!C9</f>
        <v>0</v>
      </c>
      <c r="K5" s="48">
        <f>IF(A5="ASCO",'Load Bank Pricing Breakdown'!I5,'Load Bank Pricing Breakdown'!C5)</f>
        <v>131441.5</v>
      </c>
      <c r="L5" s="52">
        <f>K5*J5</f>
        <v>0</v>
      </c>
      <c r="N5" t="s">
        <v>212</v>
      </c>
      <c r="O5" s="372">
        <f ca="1">Maintenance!C7</f>
        <v>87.52000000000001</v>
      </c>
      <c r="P5" s="52">
        <f>SUM(Maintenance!F17,(Maintenance!E7*Maintenance!B14))</f>
        <v>42.789392857142857</v>
      </c>
      <c r="Q5" s="52">
        <f ca="1">O5*P5</f>
        <v>3744.9276628571433</v>
      </c>
    </row>
    <row r="6" spans="1:22">
      <c r="A6" s="395" t="str">
        <f>C6</f>
        <v>ASCO</v>
      </c>
      <c r="B6" t="s">
        <v>603</v>
      </c>
      <c r="C6" s="396" t="s">
        <v>229</v>
      </c>
      <c r="E6"/>
      <c r="F6" s="29" t="s">
        <v>20</v>
      </c>
      <c r="G6" s="48">
        <f ca="1">('Master Tab'!$C$9*P20)+T19</f>
        <v>21000</v>
      </c>
      <c r="H6" s="42"/>
      <c r="I6" t="s">
        <v>19</v>
      </c>
      <c r="J6" s="35">
        <f>'Master Tab'!C10</f>
        <v>68</v>
      </c>
      <c r="K6" s="48">
        <f>IF(A6="ASCO",'Load Bank Pricing Breakdown'!I21,'Load Bank Pricing Breakdown'!C21)</f>
        <v>21024.5</v>
      </c>
      <c r="L6" s="52">
        <f>K6*J6</f>
        <v>1429666</v>
      </c>
      <c r="N6" t="s">
        <v>587</v>
      </c>
      <c r="O6" s="372"/>
      <c r="P6" s="52"/>
      <c r="Q6" s="52">
        <f ca="1">Maintenance!F26</f>
        <v>2541.812470588236</v>
      </c>
    </row>
    <row r="7" spans="1:22" ht="15.75" thickBot="1">
      <c r="A7"/>
      <c r="B7"/>
      <c r="C7" s="393"/>
      <c r="E7"/>
      <c r="F7" s="51" t="s">
        <v>395</v>
      </c>
      <c r="G7" s="55">
        <f ca="1">SUM(G5:G6)</f>
        <v>1727883.0761538462</v>
      </c>
      <c r="H7" s="42"/>
      <c r="I7" t="s">
        <v>7</v>
      </c>
      <c r="J7" s="35"/>
      <c r="K7" s="48"/>
      <c r="L7" s="52">
        <f>'Load Bank Pricing Breakdown'!Y13</f>
        <v>277217.07615384617</v>
      </c>
      <c r="N7"/>
      <c r="O7" s="373"/>
      <c r="P7" s="52"/>
      <c r="Q7" s="36"/>
    </row>
    <row r="8" spans="1:22" ht="15.75" thickBot="1">
      <c r="A8" s="46" t="s">
        <v>344</v>
      </c>
      <c r="B8" s="32"/>
      <c r="C8" s="32"/>
      <c r="E8"/>
      <c r="F8" s="29" t="s">
        <v>1</v>
      </c>
      <c r="G8" s="48">
        <f ca="1">Q9</f>
        <v>6286.7401334453789</v>
      </c>
      <c r="H8" s="43"/>
      <c r="I8" t="s">
        <v>8</v>
      </c>
      <c r="J8" s="37"/>
      <c r="K8" s="37"/>
      <c r="L8" s="53">
        <f>SUM(L5:L7)</f>
        <v>1706883.0761538462</v>
      </c>
      <c r="N8"/>
      <c r="O8" s="374"/>
      <c r="P8" s="38"/>
      <c r="Q8" s="38"/>
    </row>
    <row r="9" spans="1:22">
      <c r="A9" s="46"/>
      <c r="B9" t="s">
        <v>345</v>
      </c>
      <c r="C9" s="113" t="s">
        <v>151</v>
      </c>
      <c r="E9"/>
      <c r="F9" s="29" t="s">
        <v>2</v>
      </c>
      <c r="G9" s="54">
        <f>VLOOKUP(C12,F20:I20,4,FALSE)</f>
        <v>40000</v>
      </c>
      <c r="H9" s="44"/>
      <c r="I9"/>
      <c r="J9" s="29"/>
      <c r="K9" s="39"/>
      <c r="L9" s="40"/>
      <c r="N9"/>
      <c r="O9"/>
      <c r="P9"/>
      <c r="Q9" s="265">
        <f ca="1">SUM(Q5:Q8)</f>
        <v>6286.7401334453789</v>
      </c>
    </row>
    <row r="10" spans="1:22">
      <c r="A10"/>
      <c r="B10" t="s">
        <v>346</v>
      </c>
      <c r="C10" s="235">
        <v>0.1</v>
      </c>
      <c r="E10"/>
      <c r="F10" s="29" t="s">
        <v>3</v>
      </c>
      <c r="G10" s="48">
        <f ca="1">Q31</f>
        <v>189000</v>
      </c>
      <c r="H10" s="44"/>
      <c r="I10"/>
      <c r="J10" s="29"/>
      <c r="K10" s="39"/>
      <c r="L10" s="40"/>
      <c r="N10"/>
      <c r="O10"/>
      <c r="P10" t="s">
        <v>203</v>
      </c>
      <c r="Q10" s="40">
        <f ca="1">SUM(Maintenance!H8,Maintenance!F26)-Q9</f>
        <v>0</v>
      </c>
    </row>
    <row r="11" spans="1:22">
      <c r="A11"/>
      <c r="B11" t="s">
        <v>713</v>
      </c>
      <c r="C11" s="64">
        <v>2000</v>
      </c>
      <c r="E11"/>
      <c r="F11" s="29" t="s">
        <v>210</v>
      </c>
      <c r="G11" s="48">
        <f ca="1">-'Dynamic Tracking Chart'!R4</f>
        <v>-258853.19991031324</v>
      </c>
      <c r="H11" s="44"/>
      <c r="I11"/>
      <c r="J11" s="29"/>
      <c r="K11" s="39"/>
      <c r="L11" s="40"/>
      <c r="N11"/>
      <c r="O11"/>
      <c r="P11"/>
      <c r="Q11" s="40"/>
    </row>
    <row r="12" spans="1:22">
      <c r="A12"/>
      <c r="B12" t="s">
        <v>75</v>
      </c>
      <c r="C12" s="113" t="s">
        <v>27</v>
      </c>
      <c r="E12"/>
      <c r="F12" s="29" t="s">
        <v>751</v>
      </c>
      <c r="G12" s="48">
        <f>I36</f>
        <v>114400</v>
      </c>
      <c r="H12" s="44"/>
    </row>
    <row r="13" spans="1:22" ht="15.75" thickBot="1">
      <c r="A13"/>
      <c r="B13"/>
      <c r="C13" s="35"/>
      <c r="E13"/>
      <c r="F13" s="45" t="s">
        <v>21</v>
      </c>
      <c r="G13" s="65">
        <f ca="1">SUM(G8:G12)</f>
        <v>90833.54022313212</v>
      </c>
    </row>
    <row r="14" spans="1:22">
      <c r="E14"/>
      <c r="F14"/>
      <c r="G14"/>
    </row>
    <row r="16" spans="1:22" ht="32.25">
      <c r="E16" s="1"/>
      <c r="F16" s="1"/>
      <c r="G16" s="2"/>
      <c r="H16" s="2"/>
      <c r="I16" s="2"/>
      <c r="K16" s="1"/>
      <c r="L16" s="2"/>
      <c r="M16" s="2"/>
      <c r="N16" s="2"/>
      <c r="O16" s="2"/>
      <c r="P16" s="2"/>
      <c r="Q16" s="2"/>
      <c r="R16" s="293"/>
      <c r="S16" s="293"/>
      <c r="T16" s="293"/>
      <c r="U16" s="293"/>
    </row>
    <row r="17" spans="5:21" ht="23.25">
      <c r="E17" s="27"/>
      <c r="F17" s="27" t="s">
        <v>2</v>
      </c>
      <c r="G17" s="2"/>
      <c r="H17" s="2"/>
      <c r="I17" s="2"/>
      <c r="K17" s="27" t="s">
        <v>3</v>
      </c>
      <c r="L17" s="2"/>
      <c r="M17" s="2"/>
      <c r="N17" s="2"/>
      <c r="O17" s="2"/>
      <c r="P17" s="2"/>
      <c r="Q17" s="2"/>
      <c r="R17" s="293"/>
      <c r="S17" s="293"/>
      <c r="T17" s="293"/>
      <c r="U17" s="293"/>
    </row>
    <row r="18" spans="5:21" ht="20.25">
      <c r="E18" s="28"/>
      <c r="F18" s="28"/>
      <c r="G18" s="29"/>
      <c r="H18" s="29"/>
      <c r="I18" s="29"/>
      <c r="K18" s="46" t="s">
        <v>646</v>
      </c>
      <c r="L18" s="29"/>
      <c r="M18" s="29"/>
      <c r="N18" s="29"/>
      <c r="O18" s="29"/>
      <c r="P18" s="29"/>
      <c r="Q18" s="29"/>
      <c r="R18" s="291" t="s">
        <v>550</v>
      </c>
      <c r="S18" s="291"/>
      <c r="T18" s="291"/>
      <c r="U18" s="293"/>
    </row>
    <row r="19" spans="5:21" ht="15.75" thickBot="1">
      <c r="E19" s="31"/>
      <c r="F19" s="32" t="s">
        <v>9</v>
      </c>
      <c r="G19" s="32" t="s">
        <v>25</v>
      </c>
      <c r="H19" s="32" t="s">
        <v>23</v>
      </c>
      <c r="I19" s="32" t="s">
        <v>29</v>
      </c>
      <c r="K19" s="32" t="s">
        <v>10</v>
      </c>
      <c r="L19" s="32" t="s">
        <v>11</v>
      </c>
      <c r="M19" s="32" t="s">
        <v>18</v>
      </c>
      <c r="N19" s="32" t="s">
        <v>14</v>
      </c>
      <c r="O19" s="32" t="s">
        <v>379</v>
      </c>
      <c r="P19" s="32" t="s">
        <v>16</v>
      </c>
      <c r="Q19" s="32" t="s">
        <v>8</v>
      </c>
      <c r="R19" s="331"/>
      <c r="S19" s="291">
        <f>_xlfn.MINIFS(R20:R23,R20:R23,"&gt;=0")</f>
        <v>12</v>
      </c>
      <c r="T19" s="291">
        <f ca="1">SUMIF(R20:R23,S19,P21:P23)</f>
        <v>21000</v>
      </c>
      <c r="U19" s="293"/>
    </row>
    <row r="20" spans="5:21">
      <c r="E20"/>
      <c r="F20" t="s">
        <v>27</v>
      </c>
      <c r="G20" s="49">
        <f>INDEX(Assumptions!$A$6:$D$54,MATCH($G$19,Assumptions!$A$6:$A$54,0),MATCH('Dynamic Tracking Chart'!$F$40,Assumptions!$A$6:$D$6,0))</f>
        <v>20</v>
      </c>
      <c r="H20" s="47">
        <f>IF(INDEX(Assumptions!$A$6:$D$54,MATCH(B11,Assumptions!$A$6:$A$54,0),MATCH('Dynamic Tracking Chart'!$F$40,Assumptions!$A$6:$D$6,0))="Yes",I26*(1+C10),C11)</f>
        <v>2000</v>
      </c>
      <c r="I20" s="52">
        <f>H20*G20</f>
        <v>40000</v>
      </c>
      <c r="K20" t="s">
        <v>27</v>
      </c>
      <c r="L20" t="s">
        <v>374</v>
      </c>
      <c r="M20" s="35" t="s">
        <v>22</v>
      </c>
      <c r="N20" s="35">
        <v>1</v>
      </c>
      <c r="O20" s="35">
        <f ca="1">SUM('Dynamic Tracking Chart'!E20)</f>
        <v>0</v>
      </c>
      <c r="P20" s="49">
        <f>VLOOKUP(M20,'Shipping Quotes'!$D$2:$H$5,3,FALSE)</f>
        <v>12975</v>
      </c>
      <c r="Q20" s="52">
        <f ca="1">P20*O20</f>
        <v>0</v>
      </c>
      <c r="R20" s="331">
        <f>'Master Tab'!$C$10-N21</f>
        <v>-16</v>
      </c>
      <c r="S20" s="291"/>
      <c r="T20" s="291"/>
      <c r="U20" s="293"/>
    </row>
    <row r="21" spans="5:21">
      <c r="E21"/>
      <c r="F21"/>
      <c r="G21" s="49"/>
      <c r="H21" s="47"/>
      <c r="I21" s="52"/>
      <c r="K21" t="s">
        <v>27</v>
      </c>
      <c r="L21" t="s">
        <v>374</v>
      </c>
      <c r="M21" s="35" t="s">
        <v>5</v>
      </c>
      <c r="N21" s="35">
        <v>84</v>
      </c>
      <c r="O21" s="35">
        <f ca="1">'Dynamic Tracking Chart'!C19</f>
        <v>2</v>
      </c>
      <c r="P21" s="49">
        <f>VLOOKUP(N21,'Shipping Quotes'!$E$13:$F$113,2,FALSE)</f>
        <v>31500</v>
      </c>
      <c r="Q21" s="52">
        <f ca="1">P21*O21</f>
        <v>63000</v>
      </c>
      <c r="R21" s="331">
        <f>'Master Tab'!$C$10-N22</f>
        <v>12</v>
      </c>
      <c r="S21" s="291"/>
      <c r="T21" s="291"/>
      <c r="U21" s="293"/>
    </row>
    <row r="22" spans="5:21" ht="15.75" thickBot="1">
      <c r="E22"/>
      <c r="F22" s="32" t="s">
        <v>696</v>
      </c>
      <c r="G22" s="32" t="s">
        <v>14</v>
      </c>
      <c r="H22" s="32" t="s">
        <v>23</v>
      </c>
      <c r="I22" s="32" t="s">
        <v>24</v>
      </c>
      <c r="K22" t="s">
        <v>27</v>
      </c>
      <c r="L22" t="s">
        <v>374</v>
      </c>
      <c r="M22" s="35" t="s">
        <v>5</v>
      </c>
      <c r="N22" s="35">
        <v>56</v>
      </c>
      <c r="O22" s="35">
        <f ca="1">'Dynamic Tracking Chart'!D19</f>
        <v>0</v>
      </c>
      <c r="P22" s="49">
        <f>VLOOKUP(N22,'Shipping Quotes'!$E$13:$F$113,2,FALSE)</f>
        <v>21000</v>
      </c>
      <c r="Q22" s="52">
        <f t="shared" ref="Q22:Q23" ca="1" si="0">P22*O22</f>
        <v>0</v>
      </c>
      <c r="R22" s="331">
        <f>'Master Tab'!$C$10-N23</f>
        <v>40</v>
      </c>
      <c r="S22" s="291"/>
      <c r="T22" s="291"/>
      <c r="U22" s="293"/>
    </row>
    <row r="23" spans="5:21">
      <c r="E23"/>
      <c r="F23" t="s">
        <v>22</v>
      </c>
      <c r="G23" s="35">
        <f>'Master Tab'!C9</f>
        <v>0</v>
      </c>
      <c r="H23" s="47">
        <f>IF(C9="Yes",0,IF(A5="ASCO",'Load Bank Specs Breakdown'!D13,'Load Bank Specs Breakdown'!C13)*(1+C10))</f>
        <v>0</v>
      </c>
      <c r="I23" s="36">
        <f>H23*G23</f>
        <v>0</v>
      </c>
      <c r="K23" t="s">
        <v>27</v>
      </c>
      <c r="L23" t="s">
        <v>374</v>
      </c>
      <c r="M23" s="35" t="s">
        <v>5</v>
      </c>
      <c r="N23" s="35">
        <v>28</v>
      </c>
      <c r="O23" s="35">
        <f ca="1">'Dynamic Tracking Chart'!E19</f>
        <v>0</v>
      </c>
      <c r="P23" s="49">
        <f>VLOOKUP(N23,'Shipping Quotes'!$E$13:$F$113,2,FALSE)</f>
        <v>10500</v>
      </c>
      <c r="Q23" s="52">
        <f t="shared" ca="1" si="0"/>
        <v>0</v>
      </c>
      <c r="R23" s="331"/>
      <c r="S23" s="291"/>
      <c r="T23" s="291"/>
      <c r="U23" s="293"/>
    </row>
    <row r="24" spans="5:21">
      <c r="E24"/>
      <c r="F24" t="s">
        <v>5</v>
      </c>
      <c r="G24" s="35">
        <f>'Master Tab'!C10</f>
        <v>68</v>
      </c>
      <c r="H24" s="47">
        <f>IF(A6="ASCO",'Load Bank Specs Breakdown'!E13,'Load Bank Specs Breakdown'!F13)*(1+C10)</f>
        <v>15.06388888888889</v>
      </c>
      <c r="I24" s="36">
        <f>H24*G24</f>
        <v>1024.3444444444444</v>
      </c>
      <c r="K24" s="199"/>
      <c r="L24" s="199"/>
      <c r="M24" s="442"/>
      <c r="N24" s="442"/>
      <c r="O24" s="443"/>
      <c r="P24" s="444" t="s">
        <v>650</v>
      </c>
      <c r="Q24" s="445">
        <f ca="1">SUM(Q20:Q23)</f>
        <v>63000</v>
      </c>
      <c r="R24" s="441"/>
      <c r="S24" s="293"/>
      <c r="T24" s="293"/>
      <c r="U24" s="293"/>
    </row>
    <row r="25" spans="5:21">
      <c r="E25"/>
      <c r="F25" t="s">
        <v>7</v>
      </c>
      <c r="G25" s="35"/>
      <c r="H25" s="47"/>
      <c r="I25" s="36">
        <f>'Load Bank Pricing Breakdown'!R13</f>
        <v>73.291766666666661</v>
      </c>
      <c r="K25" s="46" t="s">
        <v>647</v>
      </c>
      <c r="L25"/>
      <c r="M25" s="35"/>
      <c r="N25" s="35"/>
      <c r="O25" s="35"/>
      <c r="P25" s="49"/>
      <c r="Q25" s="52"/>
      <c r="R25" s="293"/>
      <c r="S25" s="293"/>
      <c r="T25" s="293"/>
      <c r="U25" s="293"/>
    </row>
    <row r="26" spans="5:21">
      <c r="E26"/>
      <c r="F26" t="s">
        <v>8</v>
      </c>
      <c r="G26" s="37"/>
      <c r="H26" s="37"/>
      <c r="I26" s="50">
        <f>SUM(I23:I25)</f>
        <v>1097.6362111111112</v>
      </c>
      <c r="K26" t="s">
        <v>27</v>
      </c>
      <c r="L26" t="s">
        <v>374</v>
      </c>
      <c r="M26" s="35" t="s">
        <v>22</v>
      </c>
      <c r="N26" s="35">
        <v>1</v>
      </c>
      <c r="O26" s="35">
        <f ca="1">SUM('Dynamic Tracking Chart'!E31)</f>
        <v>0</v>
      </c>
      <c r="P26" s="49">
        <f>VLOOKUP(M26,'Shipping Quotes'!$D$2:$H$5,3,FALSE)</f>
        <v>12975</v>
      </c>
      <c r="Q26" s="52">
        <f ca="1">P26*O26</f>
        <v>0</v>
      </c>
      <c r="R26" s="293"/>
      <c r="S26" s="293"/>
      <c r="T26" s="293"/>
      <c r="U26" s="293"/>
    </row>
    <row r="27" spans="5:21">
      <c r="K27" t="s">
        <v>27</v>
      </c>
      <c r="L27" t="s">
        <v>374</v>
      </c>
      <c r="M27" s="35" t="s">
        <v>5</v>
      </c>
      <c r="N27" s="35">
        <v>84</v>
      </c>
      <c r="O27" s="35">
        <f ca="1">'Dynamic Tracking Chart'!C30</f>
        <v>0</v>
      </c>
      <c r="P27" s="49">
        <f>VLOOKUP(N27,'Shipping Quotes'!$E$13:$F$113,2,FALSE)</f>
        <v>31500</v>
      </c>
      <c r="Q27" s="52">
        <f ca="1">P27*O27</f>
        <v>0</v>
      </c>
      <c r="R27" s="293"/>
      <c r="S27" s="293"/>
      <c r="T27" s="293"/>
      <c r="U27" s="293"/>
    </row>
    <row r="28" spans="5:21">
      <c r="K28" t="s">
        <v>27</v>
      </c>
      <c r="L28" t="s">
        <v>374</v>
      </c>
      <c r="M28" s="35" t="s">
        <v>5</v>
      </c>
      <c r="N28" s="35">
        <v>56</v>
      </c>
      <c r="O28" s="35">
        <f ca="1">'Dynamic Tracking Chart'!D30</f>
        <v>0</v>
      </c>
      <c r="P28" s="49">
        <f>VLOOKUP(N28,'Shipping Quotes'!$E$13:$F$113,2,FALSE)</f>
        <v>21000</v>
      </c>
      <c r="Q28" s="52">
        <f t="shared" ref="Q28:Q29" ca="1" si="1">P28*O28</f>
        <v>0</v>
      </c>
      <c r="R28" s="291"/>
      <c r="S28" s="291"/>
      <c r="T28" s="291"/>
    </row>
    <row r="29" spans="5:21">
      <c r="K29" t="s">
        <v>27</v>
      </c>
      <c r="L29" t="s">
        <v>374</v>
      </c>
      <c r="M29" s="35" t="s">
        <v>5</v>
      </c>
      <c r="N29" s="35">
        <v>28</v>
      </c>
      <c r="O29" s="35">
        <f ca="1">'Dynamic Tracking Chart'!E30</f>
        <v>12</v>
      </c>
      <c r="P29" s="49">
        <f>VLOOKUP(N29,'Shipping Quotes'!$E$13:$F$113,2,FALSE)</f>
        <v>10500</v>
      </c>
      <c r="Q29" s="52">
        <f t="shared" ca="1" si="1"/>
        <v>126000</v>
      </c>
      <c r="R29" s="291"/>
      <c r="S29" s="291"/>
      <c r="T29" s="291"/>
    </row>
    <row r="30" spans="5:21" ht="32.25">
      <c r="E30" s="1"/>
      <c r="F30" s="1"/>
      <c r="G30" s="2"/>
      <c r="H30" s="2"/>
      <c r="I30" s="2"/>
      <c r="K30" s="199"/>
      <c r="L30" s="199"/>
      <c r="M30" s="442"/>
      <c r="N30" s="442"/>
      <c r="O30" s="442"/>
      <c r="P30" s="444" t="s">
        <v>649</v>
      </c>
      <c r="Q30" s="445">
        <f ca="1">SUM(Q26:Q29)</f>
        <v>126000</v>
      </c>
      <c r="R30" s="291"/>
      <c r="S30" s="291"/>
      <c r="T30" s="291"/>
    </row>
    <row r="31" spans="5:21" ht="23.25">
      <c r="E31" s="27"/>
      <c r="F31" s="27" t="s">
        <v>752</v>
      </c>
      <c r="G31" s="2"/>
      <c r="H31" s="2"/>
      <c r="I31" s="2"/>
      <c r="K31"/>
      <c r="L31" s="29"/>
      <c r="M31" s="29"/>
      <c r="N31" s="29"/>
      <c r="O31" s="39"/>
      <c r="P31" s="39" t="s">
        <v>648</v>
      </c>
      <c r="Q31" s="265">
        <f ca="1">SUM(Q30,Q24)</f>
        <v>189000</v>
      </c>
    </row>
    <row r="32" spans="5:21" ht="20.25">
      <c r="E32" s="28"/>
      <c r="F32" s="28"/>
      <c r="G32" s="29"/>
      <c r="H32" s="29"/>
      <c r="I32" s="29"/>
      <c r="K32"/>
      <c r="L32" s="29"/>
      <c r="M32" s="29"/>
      <c r="N32" s="29"/>
      <c r="O32" s="39"/>
      <c r="P32" s="39"/>
      <c r="Q32" s="40"/>
    </row>
    <row r="33" spans="5:9" ht="15.75" thickBot="1">
      <c r="E33" s="31"/>
      <c r="F33" s="32" t="s">
        <v>746</v>
      </c>
      <c r="G33" s="32" t="s">
        <v>571</v>
      </c>
      <c r="H33" s="32" t="s">
        <v>758</v>
      </c>
      <c r="I33" s="32" t="s">
        <v>105</v>
      </c>
    </row>
    <row r="34" spans="5:9">
      <c r="E34"/>
      <c r="F34" t="s">
        <v>796</v>
      </c>
      <c r="G34" s="49">
        <v>55</v>
      </c>
      <c r="H34" s="47">
        <f>52*40</f>
        <v>2080</v>
      </c>
      <c r="I34" s="52">
        <f>G34*H34</f>
        <v>114400</v>
      </c>
    </row>
    <row r="35" spans="5:9">
      <c r="E35"/>
      <c r="F35" t="s">
        <v>797</v>
      </c>
      <c r="G35" s="235">
        <v>0.5</v>
      </c>
      <c r="H35" s="47"/>
      <c r="I35" s="52">
        <f>I34*G35</f>
        <v>57200</v>
      </c>
    </row>
    <row r="36" spans="5:9">
      <c r="E36"/>
      <c r="F36" t="s">
        <v>392</v>
      </c>
      <c r="G36" s="235" t="str">
        <f>'Dynamic Tracking Chart'!F40</f>
        <v>Most Likely Case</v>
      </c>
      <c r="H36" s="47" t="s">
        <v>798</v>
      </c>
      <c r="I36" s="52">
        <f>IF(G36="Worst Case",I35,I34)</f>
        <v>114400</v>
      </c>
    </row>
  </sheetData>
  <phoneticPr fontId="54" type="noConversion"/>
  <dataValidations count="3">
    <dataValidation type="list" allowBlank="1" showInputMessage="1" showErrorMessage="1" sqref="C5:C7" xr:uid="{9294A4E5-F727-4956-BEA1-EC2389B6E993}">
      <formula1>"ASCO,LBD"</formula1>
    </dataValidation>
    <dataValidation type="list" allowBlank="1" showInputMessage="1" showErrorMessage="1" sqref="C9" xr:uid="{8B9D6DAF-3029-44E6-B528-9537E8664636}">
      <formula1>"Yes,No"</formula1>
    </dataValidation>
    <dataValidation type="list" allowBlank="1" showInputMessage="1" showErrorMessage="1" sqref="C12" xr:uid="{91844C12-B99B-4C57-AFBE-DC6E5D673B10}">
      <formula1>$F$20:$F$20</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F43B-2F64-4C38-8477-472A8E3D4099}">
  <sheetPr codeName="Sheet10">
    <tabColor rgb="FFFFFF00"/>
  </sheetPr>
  <dimension ref="A1:BF26"/>
  <sheetViews>
    <sheetView zoomScale="80" zoomScaleNormal="80" workbookViewId="0">
      <pane xSplit="1" topLeftCell="E1" activePane="topRight" state="frozen"/>
      <selection pane="topRight" activeCell="L39" sqref="L39"/>
    </sheetView>
  </sheetViews>
  <sheetFormatPr defaultColWidth="14" defaultRowHeight="15"/>
  <cols>
    <col min="1" max="6" width="16.5703125" style="3" customWidth="1"/>
    <col min="7" max="10" width="14" style="3"/>
    <col min="11" max="11" width="14.42578125" style="3" bestFit="1" customWidth="1"/>
    <col min="12" max="14" width="14" style="3"/>
    <col min="15" max="15" width="16.28515625" style="3" bestFit="1" customWidth="1"/>
    <col min="16" max="17" width="14" style="3"/>
    <col min="18" max="19" width="15.140625" style="3" bestFit="1" customWidth="1"/>
    <col min="20" max="22" width="14" style="3"/>
    <col min="23" max="23" width="15.7109375" style="3" customWidth="1"/>
    <col min="24" max="24" width="14" style="3"/>
    <col min="25" max="25" width="18.42578125" style="3" bestFit="1" customWidth="1"/>
    <col min="26" max="30" width="14" style="3"/>
    <col min="31" max="32" width="16" style="3" bestFit="1" customWidth="1"/>
    <col min="33" max="33" width="18.140625" style="3" bestFit="1" customWidth="1"/>
    <col min="34" max="35" width="14" style="3"/>
    <col min="36" max="36" width="15.140625" style="3" bestFit="1" customWidth="1"/>
    <col min="37" max="38" width="14" style="3"/>
    <col min="39" max="39" width="15.140625" style="3" bestFit="1" customWidth="1"/>
    <col min="40" max="16384" width="14" style="3"/>
  </cols>
  <sheetData>
    <row r="1" spans="1:58" ht="32.25">
      <c r="A1" s="1" t="s">
        <v>221</v>
      </c>
      <c r="B1" s="1"/>
      <c r="C1" s="1"/>
      <c r="D1" s="1"/>
      <c r="E1" s="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row>
    <row r="2" spans="1:58" ht="23.25">
      <c r="A2" s="27"/>
      <c r="B2" s="27"/>
      <c r="C2" s="27"/>
      <c r="D2" s="27"/>
      <c r="E2" s="27"/>
      <c r="F2" s="27"/>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row>
    <row r="3" spans="1:58" ht="20.25">
      <c r="A3" s="28"/>
      <c r="B3" s="28"/>
      <c r="C3" s="28"/>
      <c r="D3" s="28"/>
      <c r="E3" s="28"/>
      <c r="F3" s="28"/>
      <c r="G3" s="29"/>
      <c r="H3" s="73" t="s">
        <v>223</v>
      </c>
      <c r="I3" s="29"/>
      <c r="J3" s="29"/>
      <c r="K3" s="73" t="s">
        <v>232</v>
      </c>
      <c r="L3" s="69"/>
      <c r="M3" s="67"/>
      <c r="N3" s="73" t="s">
        <v>210</v>
      </c>
      <c r="O3" s="67"/>
      <c r="P3" s="67"/>
      <c r="Q3" s="29"/>
      <c r="R3" s="73" t="s">
        <v>232</v>
      </c>
      <c r="S3" s="29"/>
      <c r="T3" s="29"/>
      <c r="U3" s="73"/>
      <c r="V3" s="73"/>
      <c r="W3" s="73"/>
      <c r="X3" s="73"/>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row>
    <row r="4" spans="1:58" ht="20.25">
      <c r="A4" s="28"/>
      <c r="B4" s="28"/>
      <c r="C4" s="28"/>
      <c r="D4" s="28"/>
      <c r="E4" s="28"/>
      <c r="F4" s="28"/>
      <c r="G4" s="29"/>
      <c r="H4" s="68" t="s">
        <v>352</v>
      </c>
      <c r="I4" s="74" t="str">
        <f>'Cost of Ownership Calculation'!C5</f>
        <v>ASCO</v>
      </c>
      <c r="J4" s="29"/>
      <c r="K4" s="68" t="s">
        <v>423</v>
      </c>
      <c r="L4" s="69"/>
      <c r="M4" s="200">
        <f>IF('Helper Sheet'!D3&gt;'Helper Sheet'!D4,'Cash Flow Old'!C13,'IS Analysis Full'!C14)</f>
        <v>0.35</v>
      </c>
      <c r="N4" s="68" t="s">
        <v>412</v>
      </c>
      <c r="O4" s="201">
        <f>(F17/4*M5)+(M6*F18/4)</f>
        <v>41350</v>
      </c>
      <c r="P4" s="68" t="s">
        <v>421</v>
      </c>
      <c r="Q4" s="201">
        <f>SUM(O4:O6)</f>
        <v>46662.412171837037</v>
      </c>
      <c r="R4" s="29" t="s">
        <v>235</v>
      </c>
      <c r="S4" s="201">
        <v>2000000</v>
      </c>
      <c r="T4" s="29"/>
      <c r="U4" s="73"/>
      <c r="V4" s="73"/>
      <c r="W4" s="73"/>
      <c r="X4" s="73"/>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row>
    <row r="5" spans="1:58" ht="20.25">
      <c r="A5" s="28"/>
      <c r="B5" s="28"/>
      <c r="C5" s="28"/>
      <c r="D5" s="28"/>
      <c r="E5" s="28"/>
      <c r="F5" s="28"/>
      <c r="G5" s="29"/>
      <c r="H5" s="68" t="s">
        <v>222</v>
      </c>
      <c r="I5" s="74">
        <f>SUM('Cost of Ownership Calculation'!C6:C6)</f>
        <v>0</v>
      </c>
      <c r="J5" s="29"/>
      <c r="K5" s="68" t="s">
        <v>233</v>
      </c>
      <c r="L5" s="69"/>
      <c r="M5" s="201">
        <f>'SAT 46 Load Bank Stats'!C4</f>
        <v>1800</v>
      </c>
      <c r="N5" s="68" t="s">
        <v>7</v>
      </c>
      <c r="O5" s="201">
        <f>AVERAGE('CYS08 Load Bank Stats'!AA29,'SAT 46 Load Bank Stats'!J18)*SUM('Gant Chart Old'!F17:F18)</f>
        <v>312.41217183703458</v>
      </c>
      <c r="P5" s="67"/>
      <c r="Q5" s="208"/>
      <c r="R5" s="75"/>
      <c r="S5" s="29"/>
      <c r="T5" s="29"/>
      <c r="U5" s="73"/>
      <c r="V5" s="73"/>
      <c r="W5" s="73"/>
      <c r="X5" s="73"/>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row>
    <row r="6" spans="1:58" ht="20.25">
      <c r="A6" s="28"/>
      <c r="B6" s="28"/>
      <c r="C6" s="28"/>
      <c r="D6" s="28"/>
      <c r="E6" s="28"/>
      <c r="F6" s="28"/>
      <c r="G6" s="29"/>
      <c r="H6" s="181" t="s">
        <v>242</v>
      </c>
      <c r="I6" s="74">
        <f>SUM(I4:I5)</f>
        <v>0</v>
      </c>
      <c r="J6" s="29"/>
      <c r="K6" s="68" t="s">
        <v>234</v>
      </c>
      <c r="L6" s="69"/>
      <c r="M6" s="201">
        <f>'SAT 46 Load Bank Stats'!C28</f>
        <v>11800</v>
      </c>
      <c r="N6" s="68" t="s">
        <v>413</v>
      </c>
      <c r="O6" s="201">
        <f>SUM(F24,F25)</f>
        <v>5000</v>
      </c>
      <c r="P6" s="67"/>
      <c r="Q6" s="29"/>
      <c r="R6" s="29"/>
      <c r="S6" s="29"/>
      <c r="T6" s="29"/>
      <c r="U6" s="73"/>
      <c r="V6" s="73"/>
      <c r="W6" s="73"/>
      <c r="X6" s="73"/>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row>
    <row r="7" spans="1:58" ht="24">
      <c r="A7" s="28"/>
      <c r="B7" s="28"/>
      <c r="C7" s="28"/>
      <c r="D7" s="28"/>
      <c r="E7" s="28"/>
      <c r="F7" s="28"/>
      <c r="G7" s="77"/>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row>
    <row r="8" spans="1:58">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row>
    <row r="9" spans="1:58" ht="15.75" thickBot="1">
      <c r="A9" s="31"/>
      <c r="B9" s="31"/>
      <c r="C9" s="31"/>
      <c r="D9" s="31"/>
      <c r="E9" s="31"/>
      <c r="F9" s="31"/>
      <c r="G9" s="78"/>
      <c r="H9" s="78"/>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BC9" s="78"/>
      <c r="BD9" s="78"/>
      <c r="BE9" s="78"/>
      <c r="BF9" s="78"/>
    </row>
    <row r="10" spans="1:58">
      <c r="A10" s="9" t="s">
        <v>224</v>
      </c>
      <c r="B10" s="9" t="s">
        <v>236</v>
      </c>
      <c r="C10" s="9" t="s">
        <v>380</v>
      </c>
      <c r="D10" s="9" t="s">
        <v>381</v>
      </c>
      <c r="E10" s="9" t="s">
        <v>382</v>
      </c>
      <c r="F10" s="9" t="s">
        <v>239</v>
      </c>
      <c r="G10" s="182">
        <v>1</v>
      </c>
      <c r="H10" s="182">
        <v>2</v>
      </c>
      <c r="I10" s="182">
        <v>3</v>
      </c>
      <c r="J10" s="182">
        <v>4</v>
      </c>
      <c r="K10" s="182">
        <v>5</v>
      </c>
      <c r="L10" s="182">
        <v>6</v>
      </c>
      <c r="M10" s="182">
        <v>7</v>
      </c>
      <c r="N10" s="182">
        <v>8</v>
      </c>
      <c r="O10" s="182">
        <v>9</v>
      </c>
      <c r="P10" s="182">
        <v>10</v>
      </c>
      <c r="Q10" s="182">
        <v>11</v>
      </c>
      <c r="R10" s="182">
        <v>12</v>
      </c>
      <c r="S10" s="182">
        <v>13</v>
      </c>
      <c r="T10" s="182">
        <v>14</v>
      </c>
      <c r="U10" s="182">
        <v>15</v>
      </c>
      <c r="V10" s="182">
        <v>16</v>
      </c>
      <c r="W10" s="182">
        <v>17</v>
      </c>
      <c r="X10" s="182">
        <v>18</v>
      </c>
      <c r="Y10" s="182">
        <v>19</v>
      </c>
      <c r="Z10" s="182">
        <v>20</v>
      </c>
      <c r="AA10" s="182">
        <v>21</v>
      </c>
      <c r="AB10" s="182">
        <v>22</v>
      </c>
      <c r="AC10" s="182">
        <v>23</v>
      </c>
      <c r="AD10" s="182">
        <v>24</v>
      </c>
      <c r="AE10" s="182">
        <v>25</v>
      </c>
      <c r="AF10" s="182">
        <v>26</v>
      </c>
      <c r="AG10" s="182">
        <v>27</v>
      </c>
      <c r="AH10" s="182">
        <v>28</v>
      </c>
      <c r="AI10" s="182">
        <v>29</v>
      </c>
      <c r="AJ10" s="182">
        <v>30</v>
      </c>
      <c r="AK10" s="182">
        <v>31</v>
      </c>
      <c r="AL10" s="182">
        <v>32</v>
      </c>
      <c r="AM10" s="182">
        <v>33</v>
      </c>
      <c r="AN10" s="182">
        <v>34</v>
      </c>
      <c r="AO10" s="182">
        <v>35</v>
      </c>
      <c r="AP10" s="182">
        <v>36</v>
      </c>
      <c r="AQ10" s="182">
        <v>37</v>
      </c>
      <c r="AR10" s="182">
        <v>38</v>
      </c>
      <c r="AS10" s="182">
        <v>39</v>
      </c>
      <c r="AT10" s="182">
        <v>40</v>
      </c>
      <c r="AU10" s="182">
        <v>41</v>
      </c>
      <c r="AV10" s="182">
        <v>42</v>
      </c>
      <c r="AW10" s="182">
        <v>43</v>
      </c>
      <c r="AX10" s="182">
        <v>44</v>
      </c>
      <c r="AY10" s="182">
        <v>45</v>
      </c>
      <c r="AZ10" s="182">
        <v>46</v>
      </c>
      <c r="BA10" s="182">
        <v>47</v>
      </c>
      <c r="BB10" s="182">
        <v>48</v>
      </c>
      <c r="BC10" s="182">
        <v>49</v>
      </c>
      <c r="BD10" s="182">
        <v>50</v>
      </c>
      <c r="BE10" s="182">
        <v>51</v>
      </c>
      <c r="BF10" s="182">
        <v>52</v>
      </c>
    </row>
    <row r="11" spans="1:58">
      <c r="A11" s="183" t="s">
        <v>377</v>
      </c>
      <c r="B11" s="283">
        <f>SUM(G11:BF11)</f>
        <v>500</v>
      </c>
      <c r="C11" s="283">
        <f>COUNTIF($G$11:$BF$11,66)</f>
        <v>4</v>
      </c>
      <c r="D11" s="283">
        <f>COUNTIF($G$11:$BF$11,4)</f>
        <v>4</v>
      </c>
      <c r="E11" s="283">
        <f>COUNTIF($G$11:$BF$11,"&gt;0")-SUM(C11:D11)</f>
        <v>4</v>
      </c>
      <c r="F11" s="283">
        <f>SUM(G11:BF11)</f>
        <v>500</v>
      </c>
      <c r="G11" s="209">
        <v>66</v>
      </c>
      <c r="H11" s="209">
        <v>0</v>
      </c>
      <c r="I11" s="209">
        <v>0</v>
      </c>
      <c r="J11" s="209">
        <v>0</v>
      </c>
      <c r="K11" s="209">
        <v>0</v>
      </c>
      <c r="L11" s="209">
        <v>0</v>
      </c>
      <c r="M11" s="209">
        <v>0</v>
      </c>
      <c r="N11" s="209">
        <v>0</v>
      </c>
      <c r="O11" s="209">
        <v>0</v>
      </c>
      <c r="P11" s="209">
        <v>66</v>
      </c>
      <c r="Q11" s="209">
        <v>0</v>
      </c>
      <c r="R11" s="209">
        <f>54</f>
        <v>54</v>
      </c>
      <c r="S11" s="209">
        <v>0</v>
      </c>
      <c r="T11" s="209">
        <v>0</v>
      </c>
      <c r="U11" s="209">
        <v>0</v>
      </c>
      <c r="V11" s="209">
        <v>0</v>
      </c>
      <c r="W11" s="209">
        <v>4</v>
      </c>
      <c r="X11" s="209">
        <v>4</v>
      </c>
      <c r="Y11" s="209">
        <v>0</v>
      </c>
      <c r="Z11" s="209">
        <v>0</v>
      </c>
      <c r="AA11" s="209">
        <v>54</v>
      </c>
      <c r="AB11" s="209">
        <v>0</v>
      </c>
      <c r="AC11" s="209">
        <v>4</v>
      </c>
      <c r="AD11" s="209">
        <v>0</v>
      </c>
      <c r="AE11" s="209">
        <v>66</v>
      </c>
      <c r="AF11" s="209">
        <v>0</v>
      </c>
      <c r="AG11" s="209">
        <v>0</v>
      </c>
      <c r="AH11" s="209">
        <v>0</v>
      </c>
      <c r="AI11" s="209">
        <v>0</v>
      </c>
      <c r="AJ11" s="209">
        <v>0</v>
      </c>
      <c r="AK11" s="209">
        <v>0</v>
      </c>
      <c r="AL11" s="209">
        <v>0</v>
      </c>
      <c r="AM11" s="209">
        <v>0</v>
      </c>
      <c r="AN11" s="209">
        <v>66</v>
      </c>
      <c r="AO11" s="209">
        <v>54</v>
      </c>
      <c r="AP11" s="209">
        <v>0</v>
      </c>
      <c r="AQ11" s="209">
        <v>0</v>
      </c>
      <c r="AR11" s="209">
        <v>0</v>
      </c>
      <c r="AS11" s="209">
        <v>0</v>
      </c>
      <c r="AT11" s="209">
        <v>4</v>
      </c>
      <c r="AU11" s="209">
        <v>0</v>
      </c>
      <c r="AV11" s="209">
        <v>0</v>
      </c>
      <c r="AW11" s="209">
        <v>0</v>
      </c>
      <c r="AX11" s="209">
        <v>58</v>
      </c>
      <c r="AY11" s="209">
        <v>0</v>
      </c>
      <c r="AZ11" s="209">
        <v>0</v>
      </c>
      <c r="BA11" s="209">
        <v>0</v>
      </c>
      <c r="BB11" s="209">
        <v>0</v>
      </c>
      <c r="BC11" s="209">
        <v>0</v>
      </c>
      <c r="BD11" s="209">
        <v>0</v>
      </c>
      <c r="BE11" s="209">
        <v>0</v>
      </c>
      <c r="BF11" s="209">
        <v>0</v>
      </c>
    </row>
    <row r="12" spans="1:58">
      <c r="A12" s="183" t="s">
        <v>378</v>
      </c>
      <c r="B12" s="203"/>
      <c r="C12" s="203"/>
      <c r="D12" s="203"/>
      <c r="E12" s="203"/>
      <c r="F12" s="203">
        <f t="shared" ref="F12:F16" si="0">SUM(G12:BF12)</f>
        <v>8</v>
      </c>
      <c r="G12" s="209">
        <v>1</v>
      </c>
      <c r="H12" s="209"/>
      <c r="I12" s="209"/>
      <c r="J12" s="209"/>
      <c r="K12" s="209"/>
      <c r="L12" s="209"/>
      <c r="M12" s="209"/>
      <c r="N12" s="209"/>
      <c r="O12" s="209"/>
      <c r="P12" s="209">
        <v>1</v>
      </c>
      <c r="Q12" s="209"/>
      <c r="R12" s="209">
        <v>1</v>
      </c>
      <c r="S12" s="209"/>
      <c r="T12" s="209"/>
      <c r="U12" s="209"/>
      <c r="V12" s="209"/>
      <c r="W12" s="209"/>
      <c r="X12" s="209"/>
      <c r="Y12" s="209"/>
      <c r="Z12" s="209"/>
      <c r="AA12" s="209">
        <v>1</v>
      </c>
      <c r="AB12" s="209"/>
      <c r="AC12" s="209"/>
      <c r="AD12" s="209"/>
      <c r="AE12" s="209">
        <v>1</v>
      </c>
      <c r="AF12" s="209"/>
      <c r="AG12" s="209"/>
      <c r="AH12" s="209"/>
      <c r="AI12" s="209"/>
      <c r="AJ12" s="209"/>
      <c r="AK12" s="209"/>
      <c r="AL12" s="209"/>
      <c r="AM12" s="209"/>
      <c r="AN12" s="209">
        <v>1</v>
      </c>
      <c r="AO12" s="209">
        <v>1</v>
      </c>
      <c r="AP12" s="209"/>
      <c r="AQ12" s="209"/>
      <c r="AR12" s="209"/>
      <c r="AS12" s="209"/>
      <c r="AT12" s="209"/>
      <c r="AU12" s="209"/>
      <c r="AV12" s="209"/>
      <c r="AW12" s="209"/>
      <c r="AX12" s="209">
        <v>1</v>
      </c>
      <c r="AY12" s="209"/>
      <c r="AZ12" s="209"/>
      <c r="BA12" s="209"/>
      <c r="BB12" s="209"/>
      <c r="BC12" s="209"/>
      <c r="BD12" s="209"/>
      <c r="BE12" s="209"/>
      <c r="BF12" s="209"/>
    </row>
    <row r="13" spans="1:58">
      <c r="A13" s="184" t="s">
        <v>225</v>
      </c>
      <c r="B13" s="187">
        <f t="shared" ref="B13:B18" si="1">SUM(G13:BF13)</f>
        <v>1072</v>
      </c>
      <c r="C13" s="187"/>
      <c r="D13" s="187"/>
      <c r="E13" s="187"/>
      <c r="F13" s="187">
        <f>SUM(G13:BF13)</f>
        <v>1072</v>
      </c>
      <c r="G13" s="209">
        <v>0</v>
      </c>
      <c r="H13" s="209">
        <v>67</v>
      </c>
      <c r="I13" s="209">
        <v>67</v>
      </c>
      <c r="J13" s="209">
        <v>67</v>
      </c>
      <c r="K13" s="209">
        <v>67</v>
      </c>
      <c r="L13" s="209">
        <v>67</v>
      </c>
      <c r="M13" s="209">
        <v>67</v>
      </c>
      <c r="N13" s="209">
        <v>67</v>
      </c>
      <c r="O13" s="209">
        <v>67</v>
      </c>
      <c r="P13" s="209">
        <v>0</v>
      </c>
      <c r="Q13" s="209">
        <v>0</v>
      </c>
      <c r="R13" s="209">
        <v>0</v>
      </c>
      <c r="S13" s="209">
        <v>0</v>
      </c>
      <c r="T13" s="209">
        <v>0</v>
      </c>
      <c r="U13" s="209">
        <v>0</v>
      </c>
      <c r="V13" s="209">
        <v>0</v>
      </c>
      <c r="W13" s="209"/>
      <c r="X13" s="209">
        <v>0</v>
      </c>
      <c r="Y13" s="209">
        <v>0</v>
      </c>
      <c r="Z13" s="209">
        <v>0</v>
      </c>
      <c r="AA13" s="209">
        <v>0</v>
      </c>
      <c r="AB13" s="209"/>
      <c r="AC13" s="209">
        <v>0</v>
      </c>
      <c r="AD13" s="209">
        <v>0</v>
      </c>
      <c r="AE13" s="209">
        <v>0</v>
      </c>
      <c r="AF13" s="209">
        <v>67</v>
      </c>
      <c r="AG13" s="209">
        <v>67</v>
      </c>
      <c r="AH13" s="209">
        <v>67</v>
      </c>
      <c r="AI13" s="209">
        <v>67</v>
      </c>
      <c r="AJ13" s="209">
        <v>67</v>
      </c>
      <c r="AK13" s="209">
        <v>67</v>
      </c>
      <c r="AL13" s="209">
        <v>67</v>
      </c>
      <c r="AM13" s="209">
        <v>67</v>
      </c>
      <c r="AN13" s="209">
        <v>0</v>
      </c>
      <c r="AO13" s="209">
        <v>0</v>
      </c>
      <c r="AP13" s="209">
        <v>0</v>
      </c>
      <c r="AQ13" s="209">
        <v>0</v>
      </c>
      <c r="AR13" s="209">
        <v>0</v>
      </c>
      <c r="AS13" s="209">
        <v>0</v>
      </c>
      <c r="AT13" s="209"/>
      <c r="AU13" s="209"/>
      <c r="AV13" s="209">
        <v>0</v>
      </c>
      <c r="AW13" s="209">
        <v>0</v>
      </c>
      <c r="AX13" s="209">
        <v>0</v>
      </c>
      <c r="AY13" s="209">
        <v>0</v>
      </c>
      <c r="AZ13" s="209">
        <v>0</v>
      </c>
      <c r="BA13" s="209">
        <v>0</v>
      </c>
      <c r="BB13" s="209">
        <v>0</v>
      </c>
      <c r="BC13" s="209">
        <v>0</v>
      </c>
      <c r="BD13" s="209">
        <v>0</v>
      </c>
      <c r="BE13" s="209">
        <v>0</v>
      </c>
      <c r="BF13" s="209">
        <v>0</v>
      </c>
    </row>
    <row r="14" spans="1:58">
      <c r="A14" s="186" t="s">
        <v>226</v>
      </c>
      <c r="B14" s="188">
        <f t="shared" si="1"/>
        <v>48</v>
      </c>
      <c r="C14" s="188"/>
      <c r="D14" s="188"/>
      <c r="E14" s="188"/>
      <c r="F14" s="188">
        <f t="shared" si="0"/>
        <v>48</v>
      </c>
      <c r="G14" s="209">
        <v>0</v>
      </c>
      <c r="H14" s="209">
        <v>0</v>
      </c>
      <c r="I14" s="209">
        <v>0</v>
      </c>
      <c r="J14" s="209">
        <v>0</v>
      </c>
      <c r="K14" s="209">
        <v>0</v>
      </c>
      <c r="L14" s="209">
        <v>0</v>
      </c>
      <c r="M14" s="209">
        <v>0</v>
      </c>
      <c r="N14" s="209">
        <v>0</v>
      </c>
      <c r="O14" s="209">
        <v>0</v>
      </c>
      <c r="P14" s="209">
        <v>0</v>
      </c>
      <c r="Q14" s="209">
        <v>0</v>
      </c>
      <c r="R14" s="209">
        <v>0</v>
      </c>
      <c r="S14" s="209">
        <v>4</v>
      </c>
      <c r="T14" s="209">
        <v>4</v>
      </c>
      <c r="U14" s="209">
        <v>4</v>
      </c>
      <c r="V14" s="209">
        <v>4</v>
      </c>
      <c r="W14" s="209">
        <v>0</v>
      </c>
      <c r="X14" s="209">
        <v>0</v>
      </c>
      <c r="Y14" s="209">
        <v>4</v>
      </c>
      <c r="Z14" s="209">
        <v>4</v>
      </c>
      <c r="AA14" s="209">
        <v>4</v>
      </c>
      <c r="AB14" s="209">
        <v>4</v>
      </c>
      <c r="AC14" s="209">
        <v>0</v>
      </c>
      <c r="AD14" s="209">
        <v>0</v>
      </c>
      <c r="AE14" s="209">
        <v>0</v>
      </c>
      <c r="AF14" s="209">
        <v>0</v>
      </c>
      <c r="AG14" s="209">
        <v>0</v>
      </c>
      <c r="AH14" s="209">
        <v>0</v>
      </c>
      <c r="AI14" s="209">
        <v>0</v>
      </c>
      <c r="AJ14" s="209">
        <v>0</v>
      </c>
      <c r="AK14" s="209">
        <v>0</v>
      </c>
      <c r="AL14" s="209">
        <v>0</v>
      </c>
      <c r="AM14" s="209">
        <v>0</v>
      </c>
      <c r="AN14" s="209">
        <v>0</v>
      </c>
      <c r="AO14" s="209">
        <v>0</v>
      </c>
      <c r="AP14" s="209">
        <v>4</v>
      </c>
      <c r="AQ14" s="209">
        <v>4</v>
      </c>
      <c r="AR14" s="209">
        <v>4</v>
      </c>
      <c r="AS14" s="209">
        <v>4</v>
      </c>
      <c r="AT14" s="209">
        <v>0</v>
      </c>
      <c r="AU14" s="209">
        <v>0</v>
      </c>
      <c r="AV14" s="209">
        <v>0</v>
      </c>
      <c r="AW14" s="209">
        <v>0</v>
      </c>
      <c r="AX14" s="209">
        <v>0</v>
      </c>
      <c r="AY14" s="209">
        <v>0</v>
      </c>
      <c r="AZ14" s="209">
        <v>0</v>
      </c>
      <c r="BA14" s="209">
        <v>0</v>
      </c>
      <c r="BB14" s="209">
        <v>0</v>
      </c>
      <c r="BC14" s="209">
        <v>0</v>
      </c>
      <c r="BD14" s="209">
        <v>0</v>
      </c>
      <c r="BE14" s="209">
        <v>0</v>
      </c>
      <c r="BF14" s="209">
        <v>0</v>
      </c>
    </row>
    <row r="15" spans="1:58">
      <c r="A15" s="264" t="s">
        <v>227</v>
      </c>
      <c r="B15" s="204">
        <f t="shared" si="1"/>
        <v>201</v>
      </c>
      <c r="C15" s="204"/>
      <c r="D15" s="204"/>
      <c r="E15" s="204"/>
      <c r="F15" s="204">
        <f t="shared" si="0"/>
        <v>201</v>
      </c>
      <c r="G15" s="209">
        <v>0</v>
      </c>
      <c r="H15" s="209">
        <v>0</v>
      </c>
      <c r="I15" s="209">
        <v>0</v>
      </c>
      <c r="J15" s="209">
        <v>0</v>
      </c>
      <c r="K15" s="209">
        <v>0</v>
      </c>
      <c r="L15" s="209">
        <v>0</v>
      </c>
      <c r="M15" s="209">
        <v>0</v>
      </c>
      <c r="N15" s="209">
        <v>0</v>
      </c>
      <c r="O15" s="209">
        <v>0</v>
      </c>
      <c r="P15" s="209">
        <v>0</v>
      </c>
      <c r="Q15" s="209">
        <v>67</v>
      </c>
      <c r="R15" s="209">
        <v>0</v>
      </c>
      <c r="S15" s="209">
        <v>0</v>
      </c>
      <c r="T15" s="209">
        <v>0</v>
      </c>
      <c r="U15" s="209">
        <v>0</v>
      </c>
      <c r="V15" s="209">
        <v>0</v>
      </c>
      <c r="W15" s="209">
        <v>0</v>
      </c>
      <c r="X15" s="209">
        <v>0</v>
      </c>
      <c r="Y15" s="209">
        <v>0</v>
      </c>
      <c r="Z15" s="209">
        <v>0</v>
      </c>
      <c r="AA15" s="209">
        <v>0</v>
      </c>
      <c r="AB15" s="209">
        <v>0</v>
      </c>
      <c r="AC15" s="209">
        <v>0</v>
      </c>
      <c r="AD15" s="209">
        <v>67</v>
      </c>
      <c r="AE15" s="209">
        <v>0</v>
      </c>
      <c r="AF15" s="209">
        <v>0</v>
      </c>
      <c r="AG15" s="209">
        <v>0</v>
      </c>
      <c r="AH15" s="209">
        <v>0</v>
      </c>
      <c r="AI15" s="209">
        <v>0</v>
      </c>
      <c r="AJ15" s="209">
        <v>0</v>
      </c>
      <c r="AK15" s="209">
        <v>0</v>
      </c>
      <c r="AL15" s="209">
        <v>0</v>
      </c>
      <c r="AM15" s="209">
        <v>0</v>
      </c>
      <c r="AN15" s="209">
        <v>0</v>
      </c>
      <c r="AO15" s="209">
        <v>0</v>
      </c>
      <c r="AP15" s="209">
        <v>0</v>
      </c>
      <c r="AQ15" s="209">
        <v>0</v>
      </c>
      <c r="AR15" s="209">
        <v>0</v>
      </c>
      <c r="AS15" s="209">
        <v>0</v>
      </c>
      <c r="AT15" s="209">
        <v>0</v>
      </c>
      <c r="AU15" s="209">
        <v>0</v>
      </c>
      <c r="AV15" s="209">
        <v>0</v>
      </c>
      <c r="AW15" s="209">
        <v>0</v>
      </c>
      <c r="AX15" s="209">
        <v>0</v>
      </c>
      <c r="AY15" s="209">
        <v>67</v>
      </c>
      <c r="AZ15" s="209">
        <v>0</v>
      </c>
      <c r="BA15" s="209">
        <v>0</v>
      </c>
      <c r="BB15" s="209">
        <v>0</v>
      </c>
      <c r="BC15" s="209">
        <v>0</v>
      </c>
      <c r="BD15" s="209">
        <v>0</v>
      </c>
      <c r="BE15" s="209">
        <v>0</v>
      </c>
      <c r="BF15" s="209">
        <v>0</v>
      </c>
    </row>
    <row r="16" spans="1:58">
      <c r="A16" s="262" t="s">
        <v>349</v>
      </c>
      <c r="B16" s="263"/>
      <c r="C16" s="263"/>
      <c r="D16" s="263"/>
      <c r="E16" s="263"/>
      <c r="F16" s="263">
        <f t="shared" si="0"/>
        <v>-1819</v>
      </c>
      <c r="G16" s="209">
        <f>$I$6-G22</f>
        <v>-67</v>
      </c>
      <c r="H16" s="209">
        <f t="shared" ref="H16:BF16" si="2">$I$6-H22</f>
        <v>-67</v>
      </c>
      <c r="I16" s="209">
        <f t="shared" si="2"/>
        <v>-67</v>
      </c>
      <c r="J16" s="209">
        <f t="shared" si="2"/>
        <v>-67</v>
      </c>
      <c r="K16" s="209">
        <f t="shared" si="2"/>
        <v>-67</v>
      </c>
      <c r="L16" s="209">
        <f t="shared" si="2"/>
        <v>-67</v>
      </c>
      <c r="M16" s="209">
        <f t="shared" si="2"/>
        <v>-67</v>
      </c>
      <c r="N16" s="209">
        <f t="shared" si="2"/>
        <v>-67</v>
      </c>
      <c r="O16" s="209">
        <f t="shared" si="2"/>
        <v>-67</v>
      </c>
      <c r="P16" s="209">
        <f t="shared" si="2"/>
        <v>-67</v>
      </c>
      <c r="Q16" s="209">
        <f t="shared" si="2"/>
        <v>-67</v>
      </c>
      <c r="R16" s="209">
        <f t="shared" si="2"/>
        <v>-55</v>
      </c>
      <c r="S16" s="209">
        <f>$I$6-S22</f>
        <v>-3</v>
      </c>
      <c r="T16" s="209">
        <f t="shared" si="2"/>
        <v>-3</v>
      </c>
      <c r="U16" s="209">
        <f t="shared" si="2"/>
        <v>-3</v>
      </c>
      <c r="V16" s="209">
        <f t="shared" si="2"/>
        <v>-3</v>
      </c>
      <c r="W16" s="209">
        <f t="shared" si="2"/>
        <v>-3</v>
      </c>
      <c r="X16" s="209">
        <f t="shared" si="2"/>
        <v>-3</v>
      </c>
      <c r="Y16" s="209">
        <f t="shared" si="2"/>
        <v>-3</v>
      </c>
      <c r="Z16" s="209">
        <f t="shared" si="2"/>
        <v>-3</v>
      </c>
      <c r="AA16" s="209">
        <f t="shared" si="2"/>
        <v>-59</v>
      </c>
      <c r="AB16" s="209">
        <f t="shared" si="2"/>
        <v>-4</v>
      </c>
      <c r="AC16" s="209">
        <f t="shared" si="2"/>
        <v>-4</v>
      </c>
      <c r="AD16" s="209">
        <f t="shared" si="2"/>
        <v>-67</v>
      </c>
      <c r="AE16" s="209">
        <f>$I$6-AE22</f>
        <v>-67</v>
      </c>
      <c r="AF16" s="209">
        <f t="shared" ref="AF16:AT16" si="3">$I$6-AF22</f>
        <v>-67</v>
      </c>
      <c r="AG16" s="209">
        <f t="shared" si="3"/>
        <v>-67</v>
      </c>
      <c r="AH16" s="209">
        <f t="shared" si="3"/>
        <v>-67</v>
      </c>
      <c r="AI16" s="209">
        <f t="shared" si="3"/>
        <v>-67</v>
      </c>
      <c r="AJ16" s="209">
        <f t="shared" si="3"/>
        <v>-67</v>
      </c>
      <c r="AK16" s="209">
        <f t="shared" si="3"/>
        <v>-67</v>
      </c>
      <c r="AL16" s="209">
        <f t="shared" si="3"/>
        <v>-67</v>
      </c>
      <c r="AM16" s="209">
        <f t="shared" si="3"/>
        <v>-67</v>
      </c>
      <c r="AN16" s="209">
        <f t="shared" si="3"/>
        <v>-67</v>
      </c>
      <c r="AO16" s="209">
        <f t="shared" si="3"/>
        <v>-55</v>
      </c>
      <c r="AP16" s="209">
        <f t="shared" si="3"/>
        <v>-3</v>
      </c>
      <c r="AQ16" s="209">
        <f t="shared" si="3"/>
        <v>-3</v>
      </c>
      <c r="AR16" s="209">
        <f t="shared" si="3"/>
        <v>-3</v>
      </c>
      <c r="AS16" s="209">
        <f t="shared" si="3"/>
        <v>-3</v>
      </c>
      <c r="AT16" s="209">
        <f t="shared" si="3"/>
        <v>-3</v>
      </c>
      <c r="AU16" s="209">
        <f t="shared" si="2"/>
        <v>-1</v>
      </c>
      <c r="AV16" s="209">
        <f t="shared" si="2"/>
        <v>-1</v>
      </c>
      <c r="AW16" s="209">
        <f t="shared" si="2"/>
        <v>-1</v>
      </c>
      <c r="AX16" s="209">
        <f t="shared" si="2"/>
        <v>-59</v>
      </c>
      <c r="AY16" s="209">
        <f t="shared" si="2"/>
        <v>-67</v>
      </c>
      <c r="AZ16" s="209">
        <f t="shared" si="2"/>
        <v>0</v>
      </c>
      <c r="BA16" s="209">
        <f t="shared" si="2"/>
        <v>0</v>
      </c>
      <c r="BB16" s="209">
        <f t="shared" si="2"/>
        <v>0</v>
      </c>
      <c r="BC16" s="209">
        <f t="shared" si="2"/>
        <v>0</v>
      </c>
      <c r="BD16" s="209">
        <f t="shared" si="2"/>
        <v>0</v>
      </c>
      <c r="BE16" s="209">
        <f t="shared" si="2"/>
        <v>0</v>
      </c>
      <c r="BF16" s="209">
        <f t="shared" si="2"/>
        <v>0</v>
      </c>
    </row>
    <row r="17" spans="1:58">
      <c r="A17" s="185" t="s">
        <v>237</v>
      </c>
      <c r="B17" s="189">
        <f t="shared" si="1"/>
        <v>-13</v>
      </c>
      <c r="C17" s="189"/>
      <c r="D17" s="189"/>
      <c r="E17" s="189"/>
      <c r="F17" s="294">
        <f>SUM(G17:BF17)</f>
        <v>-13</v>
      </c>
      <c r="G17" s="209"/>
      <c r="H17" s="209">
        <v>0</v>
      </c>
      <c r="I17" s="209">
        <v>0</v>
      </c>
      <c r="J17" s="209">
        <v>0</v>
      </c>
      <c r="K17" s="209">
        <v>0</v>
      </c>
      <c r="L17" s="209">
        <v>0</v>
      </c>
      <c r="M17" s="209">
        <v>0</v>
      </c>
      <c r="N17" s="209">
        <v>0</v>
      </c>
      <c r="O17" s="209">
        <v>0</v>
      </c>
      <c r="P17" s="209">
        <v>0</v>
      </c>
      <c r="Q17" s="209">
        <v>0</v>
      </c>
      <c r="R17" s="209">
        <v>0</v>
      </c>
      <c r="S17" s="209">
        <f>ROUNDDOWN(($I$5-S21)*$M$4,0)</f>
        <v>-1</v>
      </c>
      <c r="T17" s="209">
        <f t="shared" ref="T17:Z17" si="4">ROUNDDOWN(($I$5-T21)*$M$4,0)</f>
        <v>-1</v>
      </c>
      <c r="U17" s="209">
        <f t="shared" si="4"/>
        <v>-1</v>
      </c>
      <c r="V17" s="209">
        <f t="shared" si="4"/>
        <v>-1</v>
      </c>
      <c r="W17" s="209">
        <f t="shared" si="4"/>
        <v>-1</v>
      </c>
      <c r="X17" s="209">
        <f t="shared" si="4"/>
        <v>-1</v>
      </c>
      <c r="Y17" s="209">
        <f t="shared" si="4"/>
        <v>-1</v>
      </c>
      <c r="Z17" s="209">
        <f t="shared" si="4"/>
        <v>-1</v>
      </c>
      <c r="AA17" s="209">
        <v>0</v>
      </c>
      <c r="AB17" s="209">
        <v>0</v>
      </c>
      <c r="AC17" s="209">
        <v>0</v>
      </c>
      <c r="AD17" s="209">
        <v>0</v>
      </c>
      <c r="AE17" s="209"/>
      <c r="AF17" s="209">
        <v>0</v>
      </c>
      <c r="AG17" s="209">
        <v>0</v>
      </c>
      <c r="AH17" s="209">
        <v>0</v>
      </c>
      <c r="AI17" s="209">
        <v>0</v>
      </c>
      <c r="AJ17" s="209">
        <v>0</v>
      </c>
      <c r="AK17" s="209">
        <v>0</v>
      </c>
      <c r="AL17" s="209">
        <v>0</v>
      </c>
      <c r="AM17" s="209">
        <v>0</v>
      </c>
      <c r="AN17" s="209">
        <v>0</v>
      </c>
      <c r="AO17" s="209">
        <v>0</v>
      </c>
      <c r="AP17" s="209">
        <f>ROUNDDOWN(($I$5-AP21)*$M$4,0)</f>
        <v>-1</v>
      </c>
      <c r="AQ17" s="209">
        <f t="shared" ref="AQ17:AT17" si="5">ROUNDDOWN(($I$5-AQ21)*$M$4,0)</f>
        <v>-1</v>
      </c>
      <c r="AR17" s="209">
        <f t="shared" si="5"/>
        <v>-1</v>
      </c>
      <c r="AS17" s="209">
        <f t="shared" si="5"/>
        <v>-1</v>
      </c>
      <c r="AT17" s="209">
        <f t="shared" si="5"/>
        <v>-1</v>
      </c>
      <c r="AU17" s="209">
        <f>ROUNDDOWN(($I$5-AU21)*$M$4,0)</f>
        <v>0</v>
      </c>
      <c r="AV17" s="209">
        <f t="shared" ref="AV17" si="6">ROUNDDOWN(($I$5-AV21)*$M$4,0)</f>
        <v>0</v>
      </c>
      <c r="AW17" s="209">
        <f>ROUNDDOWN(($I$5-AW21)*$M$4,0)</f>
        <v>0</v>
      </c>
      <c r="AX17" s="209">
        <v>0</v>
      </c>
      <c r="AY17" s="209">
        <v>0</v>
      </c>
      <c r="AZ17" s="209">
        <v>0</v>
      </c>
      <c r="BA17" s="209">
        <v>0</v>
      </c>
      <c r="BB17" s="209">
        <v>0</v>
      </c>
      <c r="BC17" s="209">
        <v>0</v>
      </c>
      <c r="BD17" s="209">
        <v>0</v>
      </c>
      <c r="BE17" s="209">
        <v>0</v>
      </c>
      <c r="BF17" s="209">
        <v>0</v>
      </c>
    </row>
    <row r="18" spans="1:58">
      <c r="A18" s="185" t="s">
        <v>238</v>
      </c>
      <c r="B18" s="189">
        <f t="shared" si="1"/>
        <v>16</v>
      </c>
      <c r="C18" s="189"/>
      <c r="D18" s="189"/>
      <c r="E18" s="189"/>
      <c r="F18" s="294">
        <f>SUM(G18:BF18)</f>
        <v>16</v>
      </c>
      <c r="G18" s="209">
        <v>0</v>
      </c>
      <c r="H18" s="209">
        <v>0</v>
      </c>
      <c r="I18" s="209">
        <v>0</v>
      </c>
      <c r="J18" s="209">
        <v>0</v>
      </c>
      <c r="K18" s="209">
        <v>0</v>
      </c>
      <c r="L18" s="209">
        <v>0</v>
      </c>
      <c r="M18" s="209">
        <v>0</v>
      </c>
      <c r="N18" s="209">
        <v>0</v>
      </c>
      <c r="O18" s="209">
        <v>0</v>
      </c>
      <c r="P18" s="209">
        <v>0</v>
      </c>
      <c r="Q18" s="209">
        <v>0</v>
      </c>
      <c r="R18" s="209">
        <v>0</v>
      </c>
      <c r="S18" s="209">
        <f>ROUNDUP(1*$M$4,0)</f>
        <v>1</v>
      </c>
      <c r="T18" s="209">
        <f t="shared" ref="T18:Z18" si="7">ROUNDUP(1*$M$4,0)</f>
        <v>1</v>
      </c>
      <c r="U18" s="209">
        <f t="shared" si="7"/>
        <v>1</v>
      </c>
      <c r="V18" s="209">
        <f t="shared" si="7"/>
        <v>1</v>
      </c>
      <c r="W18" s="209">
        <f t="shared" si="7"/>
        <v>1</v>
      </c>
      <c r="X18" s="209">
        <f t="shared" si="7"/>
        <v>1</v>
      </c>
      <c r="Y18" s="209">
        <f t="shared" si="7"/>
        <v>1</v>
      </c>
      <c r="Z18" s="209">
        <f t="shared" si="7"/>
        <v>1</v>
      </c>
      <c r="AA18" s="209">
        <v>0</v>
      </c>
      <c r="AB18" s="209">
        <v>0</v>
      </c>
      <c r="AC18" s="209">
        <v>0</v>
      </c>
      <c r="AD18" s="209">
        <v>0</v>
      </c>
      <c r="AE18" s="209">
        <v>0</v>
      </c>
      <c r="AF18" s="209">
        <v>0</v>
      </c>
      <c r="AG18" s="209">
        <v>0</v>
      </c>
      <c r="AH18" s="209">
        <v>0</v>
      </c>
      <c r="AI18" s="209">
        <v>0</v>
      </c>
      <c r="AJ18" s="209">
        <v>0</v>
      </c>
      <c r="AK18" s="209">
        <v>0</v>
      </c>
      <c r="AL18" s="209">
        <v>0</v>
      </c>
      <c r="AM18" s="209">
        <v>0</v>
      </c>
      <c r="AN18" s="209">
        <v>0</v>
      </c>
      <c r="AO18" s="209">
        <v>0</v>
      </c>
      <c r="AP18" s="209">
        <f>ROUNDUP(1*$M$4,0)</f>
        <v>1</v>
      </c>
      <c r="AQ18" s="209">
        <f t="shared" ref="AQ18:AW18" si="8">ROUNDUP(1*$M$4,0)</f>
        <v>1</v>
      </c>
      <c r="AR18" s="209">
        <f t="shared" si="8"/>
        <v>1</v>
      </c>
      <c r="AS18" s="209">
        <f t="shared" si="8"/>
        <v>1</v>
      </c>
      <c r="AT18" s="209">
        <f t="shared" si="8"/>
        <v>1</v>
      </c>
      <c r="AU18" s="209">
        <f t="shared" si="8"/>
        <v>1</v>
      </c>
      <c r="AV18" s="209">
        <f t="shared" si="8"/>
        <v>1</v>
      </c>
      <c r="AW18" s="209">
        <f t="shared" si="8"/>
        <v>1</v>
      </c>
      <c r="AX18" s="209">
        <v>0</v>
      </c>
      <c r="AY18" s="209">
        <v>0</v>
      </c>
      <c r="AZ18" s="209">
        <v>0</v>
      </c>
      <c r="BA18" s="209">
        <v>0</v>
      </c>
      <c r="BB18" s="209">
        <v>0</v>
      </c>
      <c r="BC18" s="209">
        <v>0</v>
      </c>
      <c r="BD18" s="209">
        <v>0</v>
      </c>
      <c r="BE18" s="209">
        <v>0</v>
      </c>
      <c r="BF18" s="209">
        <v>0</v>
      </c>
    </row>
    <row r="19" spans="1:58">
      <c r="A19" s="185" t="s">
        <v>422</v>
      </c>
      <c r="B19" s="189"/>
      <c r="C19" s="189"/>
      <c r="D19" s="189"/>
      <c r="E19" s="189"/>
      <c r="F19" s="294"/>
      <c r="G19" s="209">
        <f t="shared" ref="G19:R19" si="9">ROUNDUP(G17*0.1,0)</f>
        <v>0</v>
      </c>
      <c r="H19" s="209">
        <f t="shared" si="9"/>
        <v>0</v>
      </c>
      <c r="I19" s="209">
        <f t="shared" si="9"/>
        <v>0</v>
      </c>
      <c r="J19" s="209">
        <f t="shared" si="9"/>
        <v>0</v>
      </c>
      <c r="K19" s="209">
        <f t="shared" si="9"/>
        <v>0</v>
      </c>
      <c r="L19" s="209">
        <f t="shared" si="9"/>
        <v>0</v>
      </c>
      <c r="M19" s="209">
        <f t="shared" si="9"/>
        <v>0</v>
      </c>
      <c r="N19" s="209">
        <f t="shared" si="9"/>
        <v>0</v>
      </c>
      <c r="O19" s="209">
        <f t="shared" si="9"/>
        <v>0</v>
      </c>
      <c r="P19" s="209">
        <f t="shared" si="9"/>
        <v>0</v>
      </c>
      <c r="Q19" s="209">
        <f t="shared" si="9"/>
        <v>0</v>
      </c>
      <c r="R19" s="209">
        <f t="shared" si="9"/>
        <v>0</v>
      </c>
      <c r="S19" s="209">
        <f>ROUNDUP(S17*0.1,0)</f>
        <v>-1</v>
      </c>
      <c r="T19" s="209">
        <f t="shared" ref="T19:BF19" si="10">ROUNDUP(T17*0.1,0)</f>
        <v>-1</v>
      </c>
      <c r="U19" s="209">
        <f t="shared" si="10"/>
        <v>-1</v>
      </c>
      <c r="V19" s="209">
        <f t="shared" si="10"/>
        <v>-1</v>
      </c>
      <c r="W19" s="209">
        <f t="shared" si="10"/>
        <v>-1</v>
      </c>
      <c r="X19" s="209">
        <f t="shared" si="10"/>
        <v>-1</v>
      </c>
      <c r="Y19" s="209">
        <f t="shared" si="10"/>
        <v>-1</v>
      </c>
      <c r="Z19" s="209">
        <f t="shared" si="10"/>
        <v>-1</v>
      </c>
      <c r="AA19" s="209">
        <f t="shared" si="10"/>
        <v>0</v>
      </c>
      <c r="AB19" s="209">
        <f t="shared" si="10"/>
        <v>0</v>
      </c>
      <c r="AC19" s="209">
        <f t="shared" si="10"/>
        <v>0</v>
      </c>
      <c r="AD19" s="209">
        <f t="shared" si="10"/>
        <v>0</v>
      </c>
      <c r="AE19" s="209">
        <f t="shared" si="10"/>
        <v>0</v>
      </c>
      <c r="AF19" s="209">
        <f t="shared" si="10"/>
        <v>0</v>
      </c>
      <c r="AG19" s="209">
        <f t="shared" si="10"/>
        <v>0</v>
      </c>
      <c r="AH19" s="209">
        <f t="shared" si="10"/>
        <v>0</v>
      </c>
      <c r="AI19" s="209">
        <f t="shared" si="10"/>
        <v>0</v>
      </c>
      <c r="AJ19" s="209">
        <f t="shared" si="10"/>
        <v>0</v>
      </c>
      <c r="AK19" s="209">
        <f t="shared" si="10"/>
        <v>0</v>
      </c>
      <c r="AL19" s="209">
        <f t="shared" si="10"/>
        <v>0</v>
      </c>
      <c r="AM19" s="209">
        <f t="shared" si="10"/>
        <v>0</v>
      </c>
      <c r="AN19" s="209">
        <f t="shared" si="10"/>
        <v>0</v>
      </c>
      <c r="AO19" s="209">
        <f t="shared" si="10"/>
        <v>0</v>
      </c>
      <c r="AP19" s="209">
        <f t="shared" si="10"/>
        <v>-1</v>
      </c>
      <c r="AQ19" s="209">
        <f t="shared" si="10"/>
        <v>-1</v>
      </c>
      <c r="AR19" s="209">
        <f t="shared" si="10"/>
        <v>-1</v>
      </c>
      <c r="AS19" s="209">
        <f t="shared" si="10"/>
        <v>-1</v>
      </c>
      <c r="AT19" s="209">
        <f t="shared" si="10"/>
        <v>-1</v>
      </c>
      <c r="AU19" s="209">
        <f t="shared" si="10"/>
        <v>0</v>
      </c>
      <c r="AV19" s="209">
        <f t="shared" si="10"/>
        <v>0</v>
      </c>
      <c r="AW19" s="209">
        <f t="shared" si="10"/>
        <v>0</v>
      </c>
      <c r="AX19" s="209">
        <f t="shared" si="10"/>
        <v>0</v>
      </c>
      <c r="AY19" s="209">
        <f t="shared" si="10"/>
        <v>0</v>
      </c>
      <c r="AZ19" s="209">
        <f t="shared" si="10"/>
        <v>0</v>
      </c>
      <c r="BA19" s="209">
        <f t="shared" si="10"/>
        <v>0</v>
      </c>
      <c r="BB19" s="209">
        <f t="shared" si="10"/>
        <v>0</v>
      </c>
      <c r="BC19" s="209">
        <f t="shared" si="10"/>
        <v>0</v>
      </c>
      <c r="BD19" s="209">
        <f t="shared" si="10"/>
        <v>0</v>
      </c>
      <c r="BE19" s="209">
        <f t="shared" si="10"/>
        <v>0</v>
      </c>
      <c r="BF19" s="209">
        <f t="shared" si="10"/>
        <v>0</v>
      </c>
    </row>
    <row r="20" spans="1:58">
      <c r="A20" s="185" t="s">
        <v>241</v>
      </c>
      <c r="B20" s="189"/>
      <c r="C20" s="189"/>
      <c r="D20" s="189"/>
      <c r="E20" s="189"/>
      <c r="F20" s="189"/>
      <c r="G20" s="209">
        <f>SUM(G17:G18)</f>
        <v>0</v>
      </c>
      <c r="H20" s="209">
        <v>0</v>
      </c>
      <c r="I20" s="209">
        <v>0</v>
      </c>
      <c r="J20" s="209">
        <v>0</v>
      </c>
      <c r="K20" s="209">
        <v>0</v>
      </c>
      <c r="L20" s="209">
        <v>0</v>
      </c>
      <c r="M20" s="209">
        <v>0</v>
      </c>
      <c r="N20" s="209">
        <v>0</v>
      </c>
      <c r="O20" s="209">
        <v>0</v>
      </c>
      <c r="P20" s="209">
        <v>0</v>
      </c>
      <c r="Q20" s="209">
        <v>0</v>
      </c>
      <c r="R20" s="209">
        <v>0</v>
      </c>
      <c r="S20" s="209">
        <v>0</v>
      </c>
      <c r="T20" s="209">
        <v>0</v>
      </c>
      <c r="U20" s="209">
        <v>0</v>
      </c>
      <c r="V20" s="209">
        <v>0</v>
      </c>
      <c r="W20" s="209">
        <v>0</v>
      </c>
      <c r="X20" s="209">
        <v>0</v>
      </c>
      <c r="Y20" s="209">
        <v>0</v>
      </c>
      <c r="Z20" s="209">
        <v>0</v>
      </c>
      <c r="AA20" s="209">
        <v>0</v>
      </c>
      <c r="AB20" s="209">
        <v>0</v>
      </c>
      <c r="AC20" s="209">
        <v>0</v>
      </c>
      <c r="AD20" s="209">
        <v>0</v>
      </c>
      <c r="AE20" s="209">
        <v>0</v>
      </c>
      <c r="AF20" s="209">
        <v>0</v>
      </c>
      <c r="AG20" s="209">
        <v>0</v>
      </c>
      <c r="AH20" s="209">
        <v>0</v>
      </c>
      <c r="AI20" s="209">
        <v>0</v>
      </c>
      <c r="AJ20" s="209">
        <v>0</v>
      </c>
      <c r="AK20" s="209">
        <v>0</v>
      </c>
      <c r="AL20" s="209">
        <v>0</v>
      </c>
      <c r="AM20" s="209">
        <v>0</v>
      </c>
      <c r="AN20" s="209">
        <v>0</v>
      </c>
      <c r="AO20" s="209">
        <v>0</v>
      </c>
      <c r="AP20" s="209">
        <v>0</v>
      </c>
      <c r="AQ20" s="209">
        <v>0</v>
      </c>
      <c r="AR20" s="209">
        <v>0</v>
      </c>
      <c r="AS20" s="209">
        <v>0</v>
      </c>
      <c r="AT20" s="209">
        <v>0</v>
      </c>
      <c r="AU20" s="209">
        <v>0</v>
      </c>
      <c r="AV20" s="209">
        <v>0</v>
      </c>
      <c r="AW20" s="209">
        <v>0</v>
      </c>
      <c r="AX20" s="209">
        <v>0</v>
      </c>
      <c r="AY20" s="209">
        <v>0</v>
      </c>
      <c r="AZ20" s="209">
        <v>0</v>
      </c>
      <c r="BA20" s="209">
        <v>0</v>
      </c>
      <c r="BB20" s="209">
        <v>0</v>
      </c>
      <c r="BC20" s="209">
        <v>0</v>
      </c>
      <c r="BD20" s="209">
        <v>0</v>
      </c>
      <c r="BE20" s="209">
        <v>0</v>
      </c>
      <c r="BF20" s="209">
        <v>0</v>
      </c>
    </row>
    <row r="21" spans="1:58">
      <c r="A21" s="280" t="s">
        <v>351</v>
      </c>
      <c r="B21" s="281"/>
      <c r="C21" s="281"/>
      <c r="D21" s="281"/>
      <c r="E21" s="281"/>
      <c r="F21" s="281"/>
      <c r="G21" s="282">
        <f>SUM(G11:G15)</f>
        <v>67</v>
      </c>
      <c r="H21" s="282">
        <f t="shared" ref="H21:BF21" si="11">SUM(H11:H15)</f>
        <v>67</v>
      </c>
      <c r="I21" s="282">
        <f t="shared" si="11"/>
        <v>67</v>
      </c>
      <c r="J21" s="282">
        <f t="shared" si="11"/>
        <v>67</v>
      </c>
      <c r="K21" s="282">
        <f t="shared" si="11"/>
        <v>67</v>
      </c>
      <c r="L21" s="282">
        <f t="shared" si="11"/>
        <v>67</v>
      </c>
      <c r="M21" s="282">
        <f t="shared" si="11"/>
        <v>67</v>
      </c>
      <c r="N21" s="282">
        <f t="shared" si="11"/>
        <v>67</v>
      </c>
      <c r="O21" s="282">
        <f t="shared" si="11"/>
        <v>67</v>
      </c>
      <c r="P21" s="282">
        <f t="shared" si="11"/>
        <v>67</v>
      </c>
      <c r="Q21" s="282">
        <f t="shared" si="11"/>
        <v>67</v>
      </c>
      <c r="R21" s="282">
        <f t="shared" si="11"/>
        <v>55</v>
      </c>
      <c r="S21" s="282">
        <f t="shared" si="11"/>
        <v>4</v>
      </c>
      <c r="T21" s="282">
        <f t="shared" si="11"/>
        <v>4</v>
      </c>
      <c r="U21" s="282">
        <f t="shared" si="11"/>
        <v>4</v>
      </c>
      <c r="V21" s="282">
        <f t="shared" si="11"/>
        <v>4</v>
      </c>
      <c r="W21" s="282">
        <f t="shared" si="11"/>
        <v>4</v>
      </c>
      <c r="X21" s="282">
        <f t="shared" si="11"/>
        <v>4</v>
      </c>
      <c r="Y21" s="282">
        <f t="shared" si="11"/>
        <v>4</v>
      </c>
      <c r="Z21" s="282">
        <f t="shared" si="11"/>
        <v>4</v>
      </c>
      <c r="AA21" s="282">
        <f t="shared" si="11"/>
        <v>59</v>
      </c>
      <c r="AB21" s="282">
        <f t="shared" si="11"/>
        <v>4</v>
      </c>
      <c r="AC21" s="282">
        <f t="shared" si="11"/>
        <v>4</v>
      </c>
      <c r="AD21" s="282">
        <f t="shared" si="11"/>
        <v>67</v>
      </c>
      <c r="AE21" s="282">
        <f t="shared" si="11"/>
        <v>67</v>
      </c>
      <c r="AF21" s="282">
        <f t="shared" si="11"/>
        <v>67</v>
      </c>
      <c r="AG21" s="282">
        <f t="shared" si="11"/>
        <v>67</v>
      </c>
      <c r="AH21" s="282">
        <f t="shared" si="11"/>
        <v>67</v>
      </c>
      <c r="AI21" s="282">
        <f t="shared" si="11"/>
        <v>67</v>
      </c>
      <c r="AJ21" s="282">
        <f t="shared" si="11"/>
        <v>67</v>
      </c>
      <c r="AK21" s="282">
        <f t="shared" si="11"/>
        <v>67</v>
      </c>
      <c r="AL21" s="282">
        <f t="shared" si="11"/>
        <v>67</v>
      </c>
      <c r="AM21" s="282">
        <f t="shared" si="11"/>
        <v>67</v>
      </c>
      <c r="AN21" s="282">
        <f t="shared" si="11"/>
        <v>67</v>
      </c>
      <c r="AO21" s="282">
        <f t="shared" si="11"/>
        <v>55</v>
      </c>
      <c r="AP21" s="282">
        <f t="shared" si="11"/>
        <v>4</v>
      </c>
      <c r="AQ21" s="282">
        <f t="shared" si="11"/>
        <v>4</v>
      </c>
      <c r="AR21" s="282">
        <f t="shared" si="11"/>
        <v>4</v>
      </c>
      <c r="AS21" s="282">
        <f t="shared" si="11"/>
        <v>4</v>
      </c>
      <c r="AT21" s="282">
        <f t="shared" si="11"/>
        <v>4</v>
      </c>
      <c r="AU21" s="282">
        <f t="shared" si="11"/>
        <v>0</v>
      </c>
      <c r="AV21" s="282">
        <f t="shared" si="11"/>
        <v>0</v>
      </c>
      <c r="AW21" s="282">
        <f t="shared" si="11"/>
        <v>0</v>
      </c>
      <c r="AX21" s="282">
        <f>SUM(AX11:AX15)</f>
        <v>59</v>
      </c>
      <c r="AY21" s="282">
        <f t="shared" si="11"/>
        <v>67</v>
      </c>
      <c r="AZ21" s="282">
        <f t="shared" si="11"/>
        <v>0</v>
      </c>
      <c r="BA21" s="282">
        <f t="shared" si="11"/>
        <v>0</v>
      </c>
      <c r="BB21" s="282">
        <f t="shared" si="11"/>
        <v>0</v>
      </c>
      <c r="BC21" s="282">
        <f t="shared" si="11"/>
        <v>0</v>
      </c>
      <c r="BD21" s="282">
        <f t="shared" si="11"/>
        <v>0</v>
      </c>
      <c r="BE21" s="282">
        <f t="shared" si="11"/>
        <v>0</v>
      </c>
      <c r="BF21" s="282">
        <f t="shared" si="11"/>
        <v>0</v>
      </c>
    </row>
    <row r="22" spans="1:58">
      <c r="A22" s="280" t="s">
        <v>350</v>
      </c>
      <c r="B22" s="281"/>
      <c r="C22" s="281"/>
      <c r="D22" s="281"/>
      <c r="E22" s="281"/>
      <c r="F22" s="281"/>
      <c r="G22" s="282">
        <f>SUM(G11:G15,G17:G20)</f>
        <v>67</v>
      </c>
      <c r="H22" s="282">
        <f t="shared" ref="H22:BF22" si="12">SUM(H11:H15,H17:H20)</f>
        <v>67</v>
      </c>
      <c r="I22" s="282">
        <f t="shared" si="12"/>
        <v>67</v>
      </c>
      <c r="J22" s="282">
        <f t="shared" si="12"/>
        <v>67</v>
      </c>
      <c r="K22" s="282">
        <f t="shared" si="12"/>
        <v>67</v>
      </c>
      <c r="L22" s="282">
        <f t="shared" si="12"/>
        <v>67</v>
      </c>
      <c r="M22" s="282">
        <f t="shared" si="12"/>
        <v>67</v>
      </c>
      <c r="N22" s="282">
        <f t="shared" si="12"/>
        <v>67</v>
      </c>
      <c r="O22" s="282">
        <f t="shared" si="12"/>
        <v>67</v>
      </c>
      <c r="P22" s="282">
        <f t="shared" si="12"/>
        <v>67</v>
      </c>
      <c r="Q22" s="282">
        <f t="shared" si="12"/>
        <v>67</v>
      </c>
      <c r="R22" s="282">
        <f t="shared" si="12"/>
        <v>55</v>
      </c>
      <c r="S22" s="282">
        <f>SUM(S11:S15,S17:S20)</f>
        <v>3</v>
      </c>
      <c r="T22" s="282">
        <f t="shared" si="12"/>
        <v>3</v>
      </c>
      <c r="U22" s="282">
        <f t="shared" si="12"/>
        <v>3</v>
      </c>
      <c r="V22" s="282">
        <f t="shared" si="12"/>
        <v>3</v>
      </c>
      <c r="W22" s="282">
        <f t="shared" si="12"/>
        <v>3</v>
      </c>
      <c r="X22" s="282">
        <f t="shared" si="12"/>
        <v>3</v>
      </c>
      <c r="Y22" s="282">
        <f t="shared" si="12"/>
        <v>3</v>
      </c>
      <c r="Z22" s="282">
        <f t="shared" si="12"/>
        <v>3</v>
      </c>
      <c r="AA22" s="282">
        <f t="shared" si="12"/>
        <v>59</v>
      </c>
      <c r="AB22" s="282">
        <f t="shared" si="12"/>
        <v>4</v>
      </c>
      <c r="AC22" s="282">
        <f t="shared" si="12"/>
        <v>4</v>
      </c>
      <c r="AD22" s="282">
        <f t="shared" si="12"/>
        <v>67</v>
      </c>
      <c r="AE22" s="282">
        <f t="shared" si="12"/>
        <v>67</v>
      </c>
      <c r="AF22" s="282">
        <f t="shared" si="12"/>
        <v>67</v>
      </c>
      <c r="AG22" s="282">
        <f t="shared" si="12"/>
        <v>67</v>
      </c>
      <c r="AH22" s="282">
        <f t="shared" si="12"/>
        <v>67</v>
      </c>
      <c r="AI22" s="282">
        <f t="shared" si="12"/>
        <v>67</v>
      </c>
      <c r="AJ22" s="282">
        <f t="shared" si="12"/>
        <v>67</v>
      </c>
      <c r="AK22" s="282">
        <f t="shared" si="12"/>
        <v>67</v>
      </c>
      <c r="AL22" s="282">
        <f t="shared" si="12"/>
        <v>67</v>
      </c>
      <c r="AM22" s="282">
        <f t="shared" si="12"/>
        <v>67</v>
      </c>
      <c r="AN22" s="282">
        <f t="shared" si="12"/>
        <v>67</v>
      </c>
      <c r="AO22" s="282">
        <f t="shared" si="12"/>
        <v>55</v>
      </c>
      <c r="AP22" s="282">
        <f t="shared" si="12"/>
        <v>3</v>
      </c>
      <c r="AQ22" s="282">
        <f t="shared" si="12"/>
        <v>3</v>
      </c>
      <c r="AR22" s="282">
        <f t="shared" si="12"/>
        <v>3</v>
      </c>
      <c r="AS22" s="282">
        <f t="shared" si="12"/>
        <v>3</v>
      </c>
      <c r="AT22" s="282">
        <f t="shared" si="12"/>
        <v>3</v>
      </c>
      <c r="AU22" s="282">
        <f t="shared" si="12"/>
        <v>1</v>
      </c>
      <c r="AV22" s="282">
        <f t="shared" si="12"/>
        <v>1</v>
      </c>
      <c r="AW22" s="282">
        <f t="shared" si="12"/>
        <v>1</v>
      </c>
      <c r="AX22" s="282">
        <f t="shared" si="12"/>
        <v>59</v>
      </c>
      <c r="AY22" s="282">
        <f t="shared" si="12"/>
        <v>67</v>
      </c>
      <c r="AZ22" s="282">
        <f t="shared" si="12"/>
        <v>0</v>
      </c>
      <c r="BA22" s="282">
        <f t="shared" si="12"/>
        <v>0</v>
      </c>
      <c r="BB22" s="282">
        <f t="shared" si="12"/>
        <v>0</v>
      </c>
      <c r="BC22" s="282">
        <f t="shared" si="12"/>
        <v>0</v>
      </c>
      <c r="BD22" s="282">
        <f t="shared" si="12"/>
        <v>0</v>
      </c>
      <c r="BE22" s="282">
        <f t="shared" si="12"/>
        <v>0</v>
      </c>
      <c r="BF22" s="282">
        <f t="shared" si="12"/>
        <v>0</v>
      </c>
    </row>
    <row r="23" spans="1:58" s="202" customFormat="1">
      <c r="A23" s="90" t="s">
        <v>240</v>
      </c>
      <c r="B23" s="90"/>
      <c r="C23" s="90"/>
      <c r="D23" s="90"/>
      <c r="E23" s="90"/>
      <c r="F23" s="205"/>
      <c r="G23" s="210">
        <f>SUM(G11:G19)</f>
        <v>0</v>
      </c>
      <c r="H23" s="210">
        <f t="shared" ref="H23:BF23" si="13">SUM(H11:H19)</f>
        <v>0</v>
      </c>
      <c r="I23" s="210">
        <f t="shared" si="13"/>
        <v>0</v>
      </c>
      <c r="J23" s="210">
        <f t="shared" si="13"/>
        <v>0</v>
      </c>
      <c r="K23" s="210">
        <f t="shared" si="13"/>
        <v>0</v>
      </c>
      <c r="L23" s="210">
        <f t="shared" si="13"/>
        <v>0</v>
      </c>
      <c r="M23" s="210">
        <f t="shared" si="13"/>
        <v>0</v>
      </c>
      <c r="N23" s="210">
        <f t="shared" si="13"/>
        <v>0</v>
      </c>
      <c r="O23" s="210">
        <f t="shared" si="13"/>
        <v>0</v>
      </c>
      <c r="P23" s="210">
        <f t="shared" si="13"/>
        <v>0</v>
      </c>
      <c r="Q23" s="210">
        <f t="shared" si="13"/>
        <v>0</v>
      </c>
      <c r="R23" s="210">
        <f t="shared" si="13"/>
        <v>0</v>
      </c>
      <c r="S23" s="210">
        <f t="shared" si="13"/>
        <v>0</v>
      </c>
      <c r="T23" s="210">
        <f t="shared" si="13"/>
        <v>0</v>
      </c>
      <c r="U23" s="210">
        <f t="shared" si="13"/>
        <v>0</v>
      </c>
      <c r="V23" s="210">
        <f t="shared" si="13"/>
        <v>0</v>
      </c>
      <c r="W23" s="210">
        <f t="shared" si="13"/>
        <v>0</v>
      </c>
      <c r="X23" s="210">
        <f t="shared" si="13"/>
        <v>0</v>
      </c>
      <c r="Y23" s="210">
        <f t="shared" si="13"/>
        <v>0</v>
      </c>
      <c r="Z23" s="210">
        <f t="shared" si="13"/>
        <v>0</v>
      </c>
      <c r="AA23" s="210">
        <f t="shared" si="13"/>
        <v>0</v>
      </c>
      <c r="AB23" s="210">
        <f t="shared" si="13"/>
        <v>0</v>
      </c>
      <c r="AC23" s="210">
        <f t="shared" si="13"/>
        <v>0</v>
      </c>
      <c r="AD23" s="210">
        <f t="shared" si="13"/>
        <v>0</v>
      </c>
      <c r="AE23" s="210">
        <f t="shared" si="13"/>
        <v>0</v>
      </c>
      <c r="AF23" s="210">
        <f t="shared" si="13"/>
        <v>0</v>
      </c>
      <c r="AG23" s="210">
        <f t="shared" si="13"/>
        <v>0</v>
      </c>
      <c r="AH23" s="210">
        <f t="shared" si="13"/>
        <v>0</v>
      </c>
      <c r="AI23" s="210">
        <f t="shared" si="13"/>
        <v>0</v>
      </c>
      <c r="AJ23" s="210">
        <f t="shared" si="13"/>
        <v>0</v>
      </c>
      <c r="AK23" s="210">
        <f t="shared" si="13"/>
        <v>0</v>
      </c>
      <c r="AL23" s="210">
        <f t="shared" si="13"/>
        <v>0</v>
      </c>
      <c r="AM23" s="210">
        <f t="shared" si="13"/>
        <v>0</v>
      </c>
      <c r="AN23" s="210">
        <f t="shared" si="13"/>
        <v>0</v>
      </c>
      <c r="AO23" s="210">
        <f t="shared" si="13"/>
        <v>0</v>
      </c>
      <c r="AP23" s="210">
        <f t="shared" si="13"/>
        <v>0</v>
      </c>
      <c r="AQ23" s="210">
        <f t="shared" si="13"/>
        <v>0</v>
      </c>
      <c r="AR23" s="210">
        <f t="shared" si="13"/>
        <v>0</v>
      </c>
      <c r="AS23" s="210">
        <f t="shared" si="13"/>
        <v>0</v>
      </c>
      <c r="AT23" s="210">
        <f t="shared" si="13"/>
        <v>0</v>
      </c>
      <c r="AU23" s="210">
        <f t="shared" si="13"/>
        <v>0</v>
      </c>
      <c r="AV23" s="210">
        <f t="shared" si="13"/>
        <v>0</v>
      </c>
      <c r="AW23" s="210">
        <f t="shared" si="13"/>
        <v>0</v>
      </c>
      <c r="AX23" s="210">
        <f t="shared" si="13"/>
        <v>0</v>
      </c>
      <c r="AY23" s="210">
        <f t="shared" si="13"/>
        <v>0</v>
      </c>
      <c r="AZ23" s="210">
        <f t="shared" si="13"/>
        <v>0</v>
      </c>
      <c r="BA23" s="210">
        <f t="shared" si="13"/>
        <v>0</v>
      </c>
      <c r="BB23" s="210">
        <f t="shared" si="13"/>
        <v>0</v>
      </c>
      <c r="BC23" s="210">
        <f t="shared" si="13"/>
        <v>0</v>
      </c>
      <c r="BD23" s="210">
        <f t="shared" si="13"/>
        <v>0</v>
      </c>
      <c r="BE23" s="210">
        <f t="shared" si="13"/>
        <v>0</v>
      </c>
      <c r="BF23" s="210">
        <f t="shared" si="13"/>
        <v>0</v>
      </c>
    </row>
    <row r="24" spans="1:58">
      <c r="A24" t="s">
        <v>419</v>
      </c>
      <c r="B24"/>
      <c r="C24"/>
      <c r="D24"/>
      <c r="E24"/>
      <c r="F24" s="96">
        <f>SUM(G24:BF24)</f>
        <v>0</v>
      </c>
      <c r="G24" s="66">
        <f>IF(AND(G11&gt;0,H17&gt;0),MIN(H17,G11)*'SAT 46 Load Bank Stats'!$J$19,0)</f>
        <v>0</v>
      </c>
      <c r="H24" s="66">
        <f>IF(AND(H11&gt;0,I17&gt;0),I17*'SAT 46 Load Bank Stats'!$J$19,0)</f>
        <v>0</v>
      </c>
      <c r="I24" s="66">
        <f>IF(AND(I11&gt;0,J17&gt;0),J17*'SAT 46 Load Bank Stats'!$J$19,0)</f>
        <v>0</v>
      </c>
      <c r="J24" s="66">
        <f>IF(AND(J11&gt;0,K17&gt;0),K17*'SAT 46 Load Bank Stats'!$J$19,0)</f>
        <v>0</v>
      </c>
      <c r="K24" s="66">
        <f>IF(AND(K11&gt;0,L17&gt;0),L17*'SAT 46 Load Bank Stats'!$J$19,0)</f>
        <v>0</v>
      </c>
      <c r="L24" s="66">
        <f>IF(AND(L11&gt;0,M17&gt;0),M17*'SAT 46 Load Bank Stats'!$J$19,0)</f>
        <v>0</v>
      </c>
      <c r="M24" s="66">
        <f>IF(AND(M11&gt;0,N17&gt;0),N17*'SAT 46 Load Bank Stats'!$J$19,0)</f>
        <v>0</v>
      </c>
      <c r="N24" s="66">
        <f>IF(AND(N11&gt;0,O17&gt;0),O17*'SAT 46 Load Bank Stats'!$J$19,0)</f>
        <v>0</v>
      </c>
      <c r="O24" s="66">
        <f>IF(AND(O11&gt;0,P17&gt;0),P17*'SAT 46 Load Bank Stats'!$J$19,0)</f>
        <v>0</v>
      </c>
      <c r="P24" s="66">
        <f>IF(AND(P11&gt;0,Q17&gt;0),Q17*'SAT 46 Load Bank Stats'!$J$19,0)</f>
        <v>0</v>
      </c>
      <c r="Q24" s="66">
        <f>IF(AND(Q11&gt;0,R17&gt;0),R17*'SAT 46 Load Bank Stats'!$J$19,0)</f>
        <v>0</v>
      </c>
      <c r="R24" s="66">
        <f>IF(AND(R11&gt;0,S17&gt;0),S17*'SAT 46 Load Bank Stats'!$J$19,0)</f>
        <v>0</v>
      </c>
      <c r="S24" s="66">
        <f>IF(AND(S11&gt;0,T17&gt;0),T17*'SAT 46 Load Bank Stats'!$J$19,0)</f>
        <v>0</v>
      </c>
      <c r="T24" s="66">
        <f>IF(AND(T11&gt;0,U17&gt;0),U17*'SAT 46 Load Bank Stats'!$J$19,0)</f>
        <v>0</v>
      </c>
      <c r="U24" s="66">
        <f>IF(AND(U11&gt;0,V17&gt;0),V17*'SAT 46 Load Bank Stats'!$J$19,0)</f>
        <v>0</v>
      </c>
      <c r="V24" s="66">
        <f>IF(AND(V11&gt;0,W17&gt;0),W17*'SAT 46 Load Bank Stats'!$J$19,0)</f>
        <v>0</v>
      </c>
      <c r="W24" s="66">
        <f>IF(AND(W11&gt;0,X17&gt;0),X17*'SAT 46 Load Bank Stats'!$J$19,0)</f>
        <v>0</v>
      </c>
      <c r="X24" s="66">
        <f>IF(AND(X11&gt;0,Y17&gt;0),Y17*'SAT 46 Load Bank Stats'!$J$19,0)</f>
        <v>0</v>
      </c>
      <c r="Y24" s="66">
        <f>IF(AND(Y11&gt;0,Z17&gt;0),Z17*'SAT 46 Load Bank Stats'!$J$19,0)</f>
        <v>0</v>
      </c>
      <c r="Z24" s="66">
        <f>IF(AND(Z11&gt;0,AA17&gt;0),AA17*'SAT 46 Load Bank Stats'!$J$19,0)</f>
        <v>0</v>
      </c>
      <c r="AA24" s="66">
        <f>IF(AND(AA11&gt;0,AB17&gt;0),AB17*'SAT 46 Load Bank Stats'!$J$19,0)</f>
        <v>0</v>
      </c>
      <c r="AB24" s="66">
        <f>IF(AND(AB11&gt;0,AC17&gt;0),AC17*'SAT 46 Load Bank Stats'!$J$19,0)</f>
        <v>0</v>
      </c>
      <c r="AC24" s="66">
        <f>IF(AND(AC11&gt;0,AD17&gt;0),AD17*'SAT 46 Load Bank Stats'!$J$19,0)</f>
        <v>0</v>
      </c>
      <c r="AD24" s="66">
        <f>IF(AND(AD11&gt;0,AE17&gt;0),AE17*'SAT 46 Load Bank Stats'!$J$19,0)</f>
        <v>0</v>
      </c>
      <c r="AE24" s="66">
        <f>IF(AND(AE11&gt;0,AF17&gt;0),AF17*'SAT 46 Load Bank Stats'!$J$19,0)</f>
        <v>0</v>
      </c>
      <c r="AF24" s="66">
        <f>IF(AND(AF11&gt;0,AG17&gt;0),AG17*'SAT 46 Load Bank Stats'!$J$19,0)</f>
        <v>0</v>
      </c>
      <c r="AG24" s="66">
        <f>IF(AND(AG11&gt;0,AH17&gt;0),AH17*'SAT 46 Load Bank Stats'!$J$19,0)</f>
        <v>0</v>
      </c>
      <c r="AH24" s="66">
        <f>IF(AND(AH11&gt;0,AI17&gt;0),AI17*'SAT 46 Load Bank Stats'!$J$19,0)</f>
        <v>0</v>
      </c>
      <c r="AI24" s="66">
        <f>IF(AND(AI11&gt;0,AJ17&gt;0),AJ17*'SAT 46 Load Bank Stats'!$J$19,0)</f>
        <v>0</v>
      </c>
      <c r="AJ24" s="66">
        <f>IF(AND(AJ11&gt;0,AK17&gt;0),AK17*'SAT 46 Load Bank Stats'!$J$19,0)</f>
        <v>0</v>
      </c>
      <c r="AK24" s="66">
        <f>IF(AND(AK11&gt;0,AL17&gt;0),AL17*'SAT 46 Load Bank Stats'!$J$19,0)</f>
        <v>0</v>
      </c>
      <c r="AL24" s="66">
        <f>IF(AND(AL11&gt;0,AM17&gt;0),AM17*'SAT 46 Load Bank Stats'!$J$19,0)</f>
        <v>0</v>
      </c>
      <c r="AM24" s="66">
        <f>IF(AND(AM11&gt;0,AN17&gt;0),AN17*'SAT 46 Load Bank Stats'!$J$19,0)</f>
        <v>0</v>
      </c>
      <c r="AN24" s="66">
        <f>IF(AND(AN11&gt;0,AO17&gt;0),AO17*'SAT 46 Load Bank Stats'!$J$19,0)</f>
        <v>0</v>
      </c>
      <c r="AO24" s="66">
        <f>IF(AND(AO11&gt;0,AP17&gt;0),AP17*'SAT 46 Load Bank Stats'!$J$19,0)</f>
        <v>0</v>
      </c>
      <c r="AP24" s="66">
        <f>IF(AND(AP11&gt;0,AQ17&gt;0),AQ17*'SAT 46 Load Bank Stats'!$J$19,0)</f>
        <v>0</v>
      </c>
      <c r="AQ24" s="66">
        <f>IF(AND(AQ11&gt;0,AR17&gt;0),AR17*'SAT 46 Load Bank Stats'!$J$19,0)</f>
        <v>0</v>
      </c>
      <c r="AR24" s="66">
        <f>IF(AND(AR11&gt;0,AS17&gt;0),AS17*'SAT 46 Load Bank Stats'!$J$19,0)</f>
        <v>0</v>
      </c>
      <c r="AS24" s="66">
        <f>IF(AND(AS11&gt;0,AT17&gt;0),AT17*'SAT 46 Load Bank Stats'!$J$19,0)</f>
        <v>0</v>
      </c>
      <c r="AT24" s="66">
        <f>IF(AND(AT11&gt;0,AU17&gt;0),AU17*'SAT 46 Load Bank Stats'!$J$19,0)</f>
        <v>0</v>
      </c>
      <c r="AU24" s="66">
        <f>IF(AND(AU11&gt;0,AV17&gt;0),AV17*'SAT 46 Load Bank Stats'!$J$19,0)</f>
        <v>0</v>
      </c>
      <c r="AV24" s="66">
        <f>IF(AND(AV11&gt;0,AW17&gt;0),AW17*'SAT 46 Load Bank Stats'!$J$19,0)</f>
        <v>0</v>
      </c>
      <c r="AW24" s="66">
        <f>IF(AND(AW11&gt;0,AX17&gt;0),AX17*'SAT 46 Load Bank Stats'!$J$19,0)</f>
        <v>0</v>
      </c>
      <c r="AX24" s="66">
        <f>IF(AND(AX11&gt;0,AY17&gt;0),AY17*'SAT 46 Load Bank Stats'!$J$19,0)</f>
        <v>0</v>
      </c>
      <c r="AY24" s="66">
        <f>IF(AND(AY11&gt;0,AZ17&gt;0),AZ17*'SAT 46 Load Bank Stats'!$J$19,0)</f>
        <v>0</v>
      </c>
      <c r="AZ24" s="66">
        <f>IF(AND(AZ11&gt;0,BA17&gt;0),BA17*'SAT 46 Load Bank Stats'!$J$19,0)</f>
        <v>0</v>
      </c>
      <c r="BA24" s="66">
        <f>IF(AND(BA11&gt;0,BB17&gt;0),BB17*'SAT 46 Load Bank Stats'!$J$19,0)</f>
        <v>0</v>
      </c>
      <c r="BB24" s="66">
        <f>IF(AND(BB11&gt;0,BC17&gt;0),BC17*'SAT 46 Load Bank Stats'!$J$19,0)</f>
        <v>0</v>
      </c>
      <c r="BC24" s="66">
        <f>IF(AND(BC11&gt;0,BD17&gt;0),BD17*'SAT 46 Load Bank Stats'!$J$19,0)</f>
        <v>0</v>
      </c>
      <c r="BD24" s="66">
        <f>IF(AND(BD11&gt;0,BE17&gt;0),BE17*'SAT 46 Load Bank Stats'!$J$19,0)</f>
        <v>0</v>
      </c>
      <c r="BE24" s="66">
        <f>IF(AND(BE11&gt;0,BF17&gt;0),BF17*'SAT 46 Load Bank Stats'!$J$19,0)</f>
        <v>0</v>
      </c>
      <c r="BF24" s="66">
        <f>IF(AND(BF11&gt;0,BG17&gt;0),BG17*'SAT 46 Load Bank Stats'!$J$19,0)</f>
        <v>0</v>
      </c>
    </row>
    <row r="25" spans="1:58">
      <c r="A25" t="s">
        <v>420</v>
      </c>
      <c r="B25"/>
      <c r="C25"/>
      <c r="D25"/>
      <c r="E25"/>
      <c r="F25" s="96">
        <f>SUM(G25:BF25)</f>
        <v>5000</v>
      </c>
      <c r="G25" s="66">
        <f>IF(AND(G12&gt;0,H18&gt;0),MIN(H18,G12)*'SAT 46 Load Bank Stats'!$J$20,0)</f>
        <v>0</v>
      </c>
      <c r="H25" s="66">
        <f>IF(AND(H12&gt;0,I18&gt;0),MIN(I18,H12)*'SAT 46 Load Bank Stats'!$J$20,0)</f>
        <v>0</v>
      </c>
      <c r="I25" s="66">
        <f>IF(AND(I12&gt;0,J18&gt;0),MIN(J18,I12)*'SAT 46 Load Bank Stats'!$J$20,0)</f>
        <v>0</v>
      </c>
      <c r="J25" s="66">
        <f>IF(AND(J12&gt;0,K18&gt;0),MIN(K18,J12)*'SAT 46 Load Bank Stats'!$J$20,0)</f>
        <v>0</v>
      </c>
      <c r="K25" s="66">
        <f>IF(AND(K12&gt;0,L18&gt;0),MIN(L18,K12)*'SAT 46 Load Bank Stats'!$J$20,0)</f>
        <v>0</v>
      </c>
      <c r="L25" s="66">
        <f>IF(AND(L12&gt;0,M18&gt;0),MIN(M18,L12)*'SAT 46 Load Bank Stats'!$J$20,0)</f>
        <v>0</v>
      </c>
      <c r="M25" s="66">
        <f>IF(AND(M12&gt;0,N18&gt;0),MIN(N18,M12)*'SAT 46 Load Bank Stats'!$J$20,0)</f>
        <v>0</v>
      </c>
      <c r="N25" s="66">
        <f>IF(AND(N12&gt;0,O18&gt;0),MIN(O18,N12)*'SAT 46 Load Bank Stats'!$J$20,0)</f>
        <v>0</v>
      </c>
      <c r="O25" s="66">
        <f>IF(AND(O12&gt;0,P18&gt;0),MIN(P18,O12)*'SAT 46 Load Bank Stats'!$J$20,0)</f>
        <v>0</v>
      </c>
      <c r="P25" s="66">
        <f>IF(AND(P12&gt;0,Q18&gt;0),MIN(Q18,P12)*'SAT 46 Load Bank Stats'!$J$20,0)</f>
        <v>0</v>
      </c>
      <c r="Q25" s="66">
        <f>IF(AND(Q12&gt;0,R18&gt;0),MIN(R18,Q12)*'SAT 46 Load Bank Stats'!$J$20,0)</f>
        <v>0</v>
      </c>
      <c r="R25" s="66">
        <f>IF(AND(R12&gt;0,S18&gt;0),MIN(S18,R12)*'SAT 46 Load Bank Stats'!$J$20,0)</f>
        <v>2500</v>
      </c>
      <c r="S25" s="66">
        <f>IF(AND(S12&gt;0,T18&gt;0),MIN(T18,S12)*'SAT 46 Load Bank Stats'!$J$20,0)</f>
        <v>0</v>
      </c>
      <c r="T25" s="66">
        <f>IF(AND(T12&gt;0,U18&gt;0),MIN(U18,T12)*'SAT 46 Load Bank Stats'!$J$20,0)</f>
        <v>0</v>
      </c>
      <c r="U25" s="66">
        <f>IF(AND(U12&gt;0,V18&gt;0),MIN(V18,U12)*'SAT 46 Load Bank Stats'!$J$20,0)</f>
        <v>0</v>
      </c>
      <c r="V25" s="66">
        <f>IF(AND(V12&gt;0,W18&gt;0),MIN(W18,V12)*'SAT 46 Load Bank Stats'!$J$20,0)</f>
        <v>0</v>
      </c>
      <c r="W25" s="66">
        <f>IF(AND(W12&gt;0,X18&gt;0),MIN(X18,W12)*'SAT 46 Load Bank Stats'!$J$20,0)</f>
        <v>0</v>
      </c>
      <c r="X25" s="66">
        <f>IF(AND(X12&gt;0,Y18&gt;0),MIN(Y18,X12)*'SAT 46 Load Bank Stats'!$J$20,0)</f>
        <v>0</v>
      </c>
      <c r="Y25" s="66">
        <f>IF(AND(Y12&gt;0,Z18&gt;0),MIN(Z18,Y12)*'SAT 46 Load Bank Stats'!$J$20,0)</f>
        <v>0</v>
      </c>
      <c r="Z25" s="66">
        <f>IF(AND(Z12&gt;0,AA18&gt;0),MIN(AA18,Z12)*'SAT 46 Load Bank Stats'!$J$20,0)</f>
        <v>0</v>
      </c>
      <c r="AA25" s="66">
        <f>IF(AND(AA12&gt;0,AB18&gt;0),MIN(AB18,AA12)*'SAT 46 Load Bank Stats'!$J$20,0)</f>
        <v>0</v>
      </c>
      <c r="AB25" s="66">
        <f>IF(AND(AB12&gt;0,AC18&gt;0),MIN(AC18,AB12)*'SAT 46 Load Bank Stats'!$J$20,0)</f>
        <v>0</v>
      </c>
      <c r="AC25" s="66">
        <f>IF(AND(AC12&gt;0,AD18&gt;0),MIN(AD18,AC12)*'SAT 46 Load Bank Stats'!$J$20,0)</f>
        <v>0</v>
      </c>
      <c r="AD25" s="66">
        <f>IF(AND(AD12&gt;0,AE18&gt;0),MIN(AE18,AD12)*'SAT 46 Load Bank Stats'!$J$20,0)</f>
        <v>0</v>
      </c>
      <c r="AE25" s="66">
        <f>IF(AND(AE12&gt;0,AF18&gt;0),MIN(AF18,AE12)*'SAT 46 Load Bank Stats'!$J$20,0)</f>
        <v>0</v>
      </c>
      <c r="AF25" s="66">
        <f>IF(AND(AF12&gt;0,AG18&gt;0),MIN(AG18,AF12)*'SAT 46 Load Bank Stats'!$J$20,0)</f>
        <v>0</v>
      </c>
      <c r="AG25" s="66">
        <f>IF(AND(AG12&gt;0,AH18&gt;0),MIN(AH18,AG12)*'SAT 46 Load Bank Stats'!$J$20,0)</f>
        <v>0</v>
      </c>
      <c r="AH25" s="66">
        <f>IF(AND(AH12&gt;0,AI18&gt;0),MIN(AI18,AH12)*'SAT 46 Load Bank Stats'!$J$20,0)</f>
        <v>0</v>
      </c>
      <c r="AI25" s="66">
        <f>IF(AND(AI12&gt;0,AJ18&gt;0),MIN(AJ18,AI12)*'SAT 46 Load Bank Stats'!$J$20,0)</f>
        <v>0</v>
      </c>
      <c r="AJ25" s="66">
        <f>IF(AND(AJ12&gt;0,AK18&gt;0),MIN(AK18,AJ12)*'SAT 46 Load Bank Stats'!$J$20,0)</f>
        <v>0</v>
      </c>
      <c r="AK25" s="66">
        <f>IF(AND(AK12&gt;0,AL18&gt;0),MIN(AL18,AK12)*'SAT 46 Load Bank Stats'!$J$20,0)</f>
        <v>0</v>
      </c>
      <c r="AL25" s="66">
        <f>IF(AND(AL12&gt;0,AM18&gt;0),MIN(AM18,AL12)*'SAT 46 Load Bank Stats'!$J$20,0)</f>
        <v>0</v>
      </c>
      <c r="AM25" s="66">
        <f>IF(AND(AM12&gt;0,AN18&gt;0),MIN(AN18,AM12)*'SAT 46 Load Bank Stats'!$J$20,0)</f>
        <v>0</v>
      </c>
      <c r="AN25" s="66">
        <f>IF(AND(AN12&gt;0,AO18&gt;0),MIN(AO18,AN12)*'SAT 46 Load Bank Stats'!$J$20,0)</f>
        <v>0</v>
      </c>
      <c r="AO25" s="66">
        <f>IF(AND(AO12&gt;0,AP18&gt;0),MIN(AP18,AO12)*'SAT 46 Load Bank Stats'!$J$20,0)</f>
        <v>2500</v>
      </c>
      <c r="AP25" s="66">
        <f>IF(AND(AP12&gt;0,AQ18&gt;0),MIN(AQ18,AP12)*'SAT 46 Load Bank Stats'!$J$20,0)</f>
        <v>0</v>
      </c>
      <c r="AQ25" s="66">
        <f>IF(AND(AQ12&gt;0,AR18&gt;0),MIN(AR18,AQ12)*'SAT 46 Load Bank Stats'!$J$20,0)</f>
        <v>0</v>
      </c>
      <c r="AR25" s="66">
        <f>IF(AND(AR12&gt;0,AS18&gt;0),MIN(AS18,AR12)*'SAT 46 Load Bank Stats'!$J$20,0)</f>
        <v>0</v>
      </c>
      <c r="AS25" s="66">
        <f>IF(AND(AS12&gt;0,AT18&gt;0),MIN(AT18,AS12)*'SAT 46 Load Bank Stats'!$J$20,0)</f>
        <v>0</v>
      </c>
      <c r="AT25" s="66">
        <f>IF(AND(AT12&gt;0,AU18&gt;0),MIN(AU18,AT12)*'SAT 46 Load Bank Stats'!$J$20,0)</f>
        <v>0</v>
      </c>
      <c r="AU25" s="66">
        <f>IF(AND(AU12&gt;0,AV18&gt;0),MIN(AV18,AU12)*'SAT 46 Load Bank Stats'!$J$20,0)</f>
        <v>0</v>
      </c>
      <c r="AV25" s="66">
        <f>IF(AND(AV12&gt;0,AW18&gt;0),MIN(AW18,AV12)*'SAT 46 Load Bank Stats'!$J$20,0)</f>
        <v>0</v>
      </c>
      <c r="AW25" s="66">
        <f>IF(AND(AW12&gt;0,AX18&gt;0),MIN(AX18,AW12)*'SAT 46 Load Bank Stats'!$J$20,0)</f>
        <v>0</v>
      </c>
      <c r="AX25" s="66">
        <f>IF(AND(AX12&gt;0,AY18&gt;0),MIN(AY18,AX12)*'SAT 46 Load Bank Stats'!$J$20,0)</f>
        <v>0</v>
      </c>
      <c r="AY25" s="66">
        <f>IF(AND(AY12&gt;0,AZ18&gt;0),MIN(AZ18,AY12)*'SAT 46 Load Bank Stats'!$J$20,0)</f>
        <v>0</v>
      </c>
      <c r="AZ25" s="66">
        <f>IF(AND(AZ12&gt;0,BA18&gt;0),MIN(BA18,AZ12)*'SAT 46 Load Bank Stats'!$J$20,0)</f>
        <v>0</v>
      </c>
      <c r="BA25" s="66">
        <f>IF(AND(BA12&gt;0,BB18&gt;0),MIN(BB18,BA12)*'SAT 46 Load Bank Stats'!$J$20,0)</f>
        <v>0</v>
      </c>
      <c r="BB25" s="66">
        <f>IF(AND(BB12&gt;0,BC18&gt;0),MIN(BC18,BB12)*'SAT 46 Load Bank Stats'!$J$20,0)</f>
        <v>0</v>
      </c>
      <c r="BC25" s="66">
        <f>IF(AND(BC12&gt;0,BD18&gt;0),MIN(BD18,BC12)*'SAT 46 Load Bank Stats'!$J$20,0)</f>
        <v>0</v>
      </c>
      <c r="BD25" s="66">
        <f>IF(AND(BD12&gt;0,BE18&gt;0),MIN(BE18,BD12)*'SAT 46 Load Bank Stats'!$J$20,0)</f>
        <v>0</v>
      </c>
      <c r="BE25" s="66">
        <f>IF(AND(BE12&gt;0,BF18&gt;0),MIN(BF18,BE12)*'SAT 46 Load Bank Stats'!$J$20,0)</f>
        <v>0</v>
      </c>
      <c r="BF25" s="66">
        <f>IF(AND(BF12&gt;0,BG18&gt;0),MIN(BG18,BF12)*'SAT 46 Load Bank Stats'!$J$20,0)</f>
        <v>0</v>
      </c>
    </row>
    <row r="26" spans="1:58">
      <c r="A26"/>
      <c r="B26"/>
      <c r="C26"/>
      <c r="D26"/>
      <c r="E26"/>
      <c r="F26"/>
      <c r="G26" s="211"/>
      <c r="H26" s="211"/>
      <c r="I26" s="211"/>
      <c r="J26" s="211"/>
      <c r="K26" s="211"/>
      <c r="L26" s="211"/>
      <c r="M26" s="211"/>
      <c r="N26" s="211"/>
      <c r="O26" s="211"/>
      <c r="P26" s="211"/>
      <c r="Q26" s="211"/>
      <c r="R26" s="211"/>
      <c r="S26" s="211"/>
      <c r="T26" s="211"/>
      <c r="U26" s="211"/>
      <c r="V26" s="211"/>
      <c r="W26" s="211"/>
      <c r="X26" s="211"/>
      <c r="Y26" s="211"/>
      <c r="Z26" s="211"/>
      <c r="AA26" s="211"/>
      <c r="AB26" s="211"/>
      <c r="AC26" s="211"/>
      <c r="AD26" s="211"/>
      <c r="AE26" s="211"/>
      <c r="AF26" s="211"/>
      <c r="AG26" s="211"/>
      <c r="AH26" s="211"/>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row>
  </sheetData>
  <conditionalFormatting sqref="G11:R12 AC11:AD12 AU11:BF12">
    <cfRule type="cellIs" dxfId="85" priority="38" operator="greaterThan">
      <formula>0</formula>
    </cfRule>
  </conditionalFormatting>
  <conditionalFormatting sqref="G20:BA20 AX18:BF18 G18:AD18 G19:BF19">
    <cfRule type="cellIs" dxfId="84" priority="32" operator="greaterThan">
      <formula>0</formula>
    </cfRule>
  </conditionalFormatting>
  <conditionalFormatting sqref="G13:R13 AC13:AD13 AU13:BF13">
    <cfRule type="cellIs" dxfId="83" priority="31" operator="greaterThan">
      <formula>0</formula>
    </cfRule>
  </conditionalFormatting>
  <conditionalFormatting sqref="G14:R14 AC14:AD14 AU14:BF14">
    <cfRule type="cellIs" dxfId="82" priority="30" operator="greaterThan">
      <formula>0</formula>
    </cfRule>
  </conditionalFormatting>
  <conditionalFormatting sqref="BB20:BF20 G15:AD16 AU15:BF16">
    <cfRule type="cellIs" dxfId="81" priority="29" operator="greaterThan">
      <formula>0</formula>
    </cfRule>
  </conditionalFormatting>
  <conditionalFormatting sqref="AX17:BF18 G17:AD18 G19:BF19">
    <cfRule type="cellIs" dxfId="80" priority="28" operator="greaterThan">
      <formula>0</formula>
    </cfRule>
  </conditionalFormatting>
  <conditionalFormatting sqref="G16:AD16 AU16:BF16">
    <cfRule type="cellIs" dxfId="79" priority="24" operator="greaterThan">
      <formula>0</formula>
    </cfRule>
  </conditionalFormatting>
  <conditionalFormatting sqref="S11:W12">
    <cfRule type="cellIs" dxfId="78" priority="23" operator="greaterThan">
      <formula>0</formula>
    </cfRule>
  </conditionalFormatting>
  <conditionalFormatting sqref="S13:W13">
    <cfRule type="cellIs" dxfId="77" priority="22" operator="greaterThan">
      <formula>0</formula>
    </cfRule>
  </conditionalFormatting>
  <conditionalFormatting sqref="S14:W14">
    <cfRule type="cellIs" dxfId="76" priority="21" operator="greaterThan">
      <formula>0</formula>
    </cfRule>
  </conditionalFormatting>
  <conditionalFormatting sqref="X11:AB12">
    <cfRule type="cellIs" dxfId="75" priority="20" operator="greaterThan">
      <formula>0</formula>
    </cfRule>
  </conditionalFormatting>
  <conditionalFormatting sqref="X13:AB13">
    <cfRule type="cellIs" dxfId="74" priority="19" operator="greaterThan">
      <formula>0</formula>
    </cfRule>
  </conditionalFormatting>
  <conditionalFormatting sqref="X14:AB14">
    <cfRule type="cellIs" dxfId="73" priority="18" operator="greaterThan">
      <formula>0</formula>
    </cfRule>
  </conditionalFormatting>
  <conditionalFormatting sqref="AE11:AN12">
    <cfRule type="cellIs" dxfId="72" priority="17" operator="greaterThan">
      <formula>0</formula>
    </cfRule>
  </conditionalFormatting>
  <conditionalFormatting sqref="AE18:AN18">
    <cfRule type="cellIs" dxfId="71" priority="16" operator="greaterThan">
      <formula>0</formula>
    </cfRule>
  </conditionalFormatting>
  <conditionalFormatting sqref="AE13:AN13">
    <cfRule type="cellIs" dxfId="70" priority="15" operator="greaterThan">
      <formula>0</formula>
    </cfRule>
  </conditionalFormatting>
  <conditionalFormatting sqref="AE14:AN14">
    <cfRule type="cellIs" dxfId="69" priority="14" operator="greaterThan">
      <formula>0</formula>
    </cfRule>
  </conditionalFormatting>
  <conditionalFormatting sqref="AE15:AN16">
    <cfRule type="cellIs" dxfId="68" priority="13" operator="greaterThan">
      <formula>0</formula>
    </cfRule>
  </conditionalFormatting>
  <conditionalFormatting sqref="AE17:AN18">
    <cfRule type="cellIs" dxfId="67" priority="12" operator="greaterThan">
      <formula>0</formula>
    </cfRule>
  </conditionalFormatting>
  <conditionalFormatting sqref="AE16:AN16">
    <cfRule type="cellIs" dxfId="66" priority="11" operator="greaterThan">
      <formula>0</formula>
    </cfRule>
  </conditionalFormatting>
  <conditionalFormatting sqref="AO11:AO12">
    <cfRule type="cellIs" dxfId="65" priority="10" operator="greaterThan">
      <formula>0</formula>
    </cfRule>
  </conditionalFormatting>
  <conditionalFormatting sqref="AO18:AW18">
    <cfRule type="cellIs" dxfId="64" priority="9" operator="greaterThan">
      <formula>0</formula>
    </cfRule>
  </conditionalFormatting>
  <conditionalFormatting sqref="AO13">
    <cfRule type="cellIs" dxfId="63" priority="8" operator="greaterThan">
      <formula>0</formula>
    </cfRule>
  </conditionalFormatting>
  <conditionalFormatting sqref="AO14">
    <cfRule type="cellIs" dxfId="62" priority="7" operator="greaterThan">
      <formula>0</formula>
    </cfRule>
  </conditionalFormatting>
  <conditionalFormatting sqref="AO15:AT16">
    <cfRule type="cellIs" dxfId="61" priority="6" operator="greaterThan">
      <formula>0</formula>
    </cfRule>
  </conditionalFormatting>
  <conditionalFormatting sqref="AO17:AW18">
    <cfRule type="cellIs" dxfId="60" priority="5" operator="greaterThan">
      <formula>0</formula>
    </cfRule>
  </conditionalFormatting>
  <conditionalFormatting sqref="AO16:AT16">
    <cfRule type="cellIs" dxfId="59" priority="4" operator="greaterThan">
      <formula>0</formula>
    </cfRule>
  </conditionalFormatting>
  <conditionalFormatting sqref="AP11:AT12">
    <cfRule type="cellIs" dxfId="58" priority="3" operator="greaterThan">
      <formula>0</formula>
    </cfRule>
  </conditionalFormatting>
  <conditionalFormatting sqref="AP13:AT13">
    <cfRule type="cellIs" dxfId="57" priority="2" operator="greaterThan">
      <formula>0</formula>
    </cfRule>
  </conditionalFormatting>
  <conditionalFormatting sqref="AP14:AT14">
    <cfRule type="cellIs" dxfId="56" priority="1"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8D047-D83C-414C-B51E-19C571212EF1}">
  <sheetPr codeName="Sheet21">
    <tabColor rgb="FFFFFF00"/>
  </sheetPr>
  <dimension ref="A1:BG74"/>
  <sheetViews>
    <sheetView zoomScale="86" zoomScaleNormal="86" workbookViewId="0">
      <pane xSplit="1" topLeftCell="R1" activePane="topRight" state="frozen"/>
      <selection activeCell="B22" sqref="B22:D22"/>
      <selection pane="topRight" activeCell="Y91" sqref="Y91"/>
    </sheetView>
  </sheetViews>
  <sheetFormatPr defaultColWidth="14" defaultRowHeight="15" outlineLevelCol="1"/>
  <cols>
    <col min="1" max="1" width="24.85546875" style="3" customWidth="1"/>
    <col min="2" max="4" width="16.5703125" style="3" hidden="1" customWidth="1" outlineLevel="1"/>
    <col min="5" max="5" width="26.5703125" style="3" hidden="1" customWidth="1" outlineLevel="1"/>
    <col min="6" max="7" width="16.5703125" style="3" hidden="1" customWidth="1" outlineLevel="1"/>
    <col min="8" max="8" width="14" style="3" collapsed="1"/>
    <col min="9" max="11" width="14" style="3"/>
    <col min="12" max="12" width="14.42578125" style="3" bestFit="1" customWidth="1"/>
    <col min="13" max="15" width="14" style="3"/>
    <col min="16" max="16" width="16.28515625" style="3" bestFit="1" customWidth="1"/>
    <col min="17" max="18" width="14" style="3"/>
    <col min="19" max="20" width="15.140625" style="3" bestFit="1" customWidth="1"/>
    <col min="21" max="23" width="14" style="3"/>
    <col min="24" max="24" width="15.7109375" style="3" customWidth="1"/>
    <col min="25" max="25" width="14" style="3"/>
    <col min="26" max="26" width="15.140625" style="3" customWidth="1"/>
    <col min="27" max="31" width="14" style="3"/>
    <col min="32" max="33" width="16" style="3" bestFit="1" customWidth="1"/>
    <col min="34" max="34" width="14.5703125" style="3" customWidth="1"/>
    <col min="35" max="36" width="14" style="3"/>
    <col min="37" max="37" width="15.140625" style="3" bestFit="1" customWidth="1"/>
    <col min="38" max="39" width="14" style="3"/>
    <col min="40" max="40" width="15.140625" style="3" bestFit="1" customWidth="1"/>
    <col min="41" max="16384" width="14" style="3"/>
  </cols>
  <sheetData>
    <row r="1" spans="1:59" ht="32.25">
      <c r="A1" s="1" t="s">
        <v>221</v>
      </c>
      <c r="B1" s="1"/>
      <c r="C1" s="1"/>
      <c r="D1" s="1"/>
      <c r="E1" s="1"/>
      <c r="F1" s="1"/>
      <c r="G1" s="1"/>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row>
    <row r="2" spans="1:59" ht="23.25">
      <c r="A2" s="27"/>
      <c r="B2" s="27"/>
      <c r="C2" s="27"/>
      <c r="D2" s="27"/>
      <c r="E2" s="27"/>
      <c r="F2" s="27"/>
      <c r="G2" s="27"/>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row>
    <row r="3" spans="1:59" ht="20.25">
      <c r="A3" s="28"/>
      <c r="B3" s="28"/>
      <c r="C3" s="28"/>
      <c r="D3" s="28"/>
      <c r="E3" s="28"/>
      <c r="F3" s="28"/>
      <c r="G3" s="28"/>
      <c r="H3" s="29"/>
      <c r="I3" s="73" t="s">
        <v>223</v>
      </c>
      <c r="J3" s="29"/>
      <c r="K3" s="29"/>
      <c r="L3" s="73" t="s">
        <v>232</v>
      </c>
      <c r="M3" s="69"/>
      <c r="N3" s="67"/>
      <c r="O3" s="73" t="s">
        <v>640</v>
      </c>
      <c r="P3" s="67"/>
      <c r="Q3" s="67"/>
      <c r="R3" s="29"/>
      <c r="S3" s="73"/>
      <c r="T3" s="73" t="s">
        <v>547</v>
      </c>
      <c r="U3" s="29"/>
      <c r="V3" s="73"/>
      <c r="W3" s="73"/>
      <c r="X3" s="73"/>
      <c r="Y3" s="73"/>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row>
    <row r="4" spans="1:59" ht="20.25">
      <c r="A4" s="28"/>
      <c r="B4" s="28"/>
      <c r="C4" s="28"/>
      <c r="D4" s="28"/>
      <c r="E4" s="28"/>
      <c r="F4" s="28"/>
      <c r="G4" s="28"/>
      <c r="H4" s="29"/>
      <c r="I4" s="68" t="s">
        <v>352</v>
      </c>
      <c r="J4" s="74">
        <f>'Master Tab'!C9</f>
        <v>0</v>
      </c>
      <c r="K4" s="29"/>
      <c r="L4" s="68" t="s">
        <v>423</v>
      </c>
      <c r="M4" s="69"/>
      <c r="N4" s="200">
        <f>IF('Helper Sheet'!D3&gt;'Helper Sheet'!D4,'Cash Flow Analysis'!C13,'IS Analysis'!C13)</f>
        <v>0.35</v>
      </c>
      <c r="O4" s="68" t="s">
        <v>707</v>
      </c>
      <c r="P4" s="201">
        <f ca="1">(G27/4*N5)+(N6*G28/4)</f>
        <v>155250</v>
      </c>
      <c r="Q4" s="68" t="s">
        <v>641</v>
      </c>
      <c r="R4" s="201">
        <f ca="1">SUM(P4:P6)</f>
        <v>258853.19991031324</v>
      </c>
      <c r="S4" s="29"/>
      <c r="T4" s="29" t="s">
        <v>5</v>
      </c>
      <c r="U4" s="201">
        <f>'SAT 46 Load Bank Stats'!$C$4</f>
        <v>1800</v>
      </c>
      <c r="V4" s="68" t="s">
        <v>548</v>
      </c>
      <c r="W4" s="201">
        <f ca="1">(G34/4*U5)+(G33/4*U4)</f>
        <v>29500</v>
      </c>
      <c r="X4" s="73" t="s">
        <v>105</v>
      </c>
      <c r="Y4" s="201">
        <f ca="1">SUM(W4:W6)</f>
        <v>33909.770065856916</v>
      </c>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row>
    <row r="5" spans="1:59" ht="20.25">
      <c r="A5" s="28"/>
      <c r="B5" s="28"/>
      <c r="C5" s="28"/>
      <c r="D5" s="28"/>
      <c r="E5" s="28"/>
      <c r="F5" s="28"/>
      <c r="G5" s="28"/>
      <c r="H5" s="29"/>
      <c r="I5" s="68" t="s">
        <v>222</v>
      </c>
      <c r="J5" s="74">
        <f>'Master Tab'!C10</f>
        <v>68</v>
      </c>
      <c r="K5" s="29"/>
      <c r="L5" s="68" t="s">
        <v>233</v>
      </c>
      <c r="M5" s="69"/>
      <c r="N5" s="201">
        <f>INDEX(Assumptions!B24:D24,1,MATCH($F$40,Assumptions!$B$6:$D$6,0))</f>
        <v>1500</v>
      </c>
      <c r="O5" s="68" t="s">
        <v>7</v>
      </c>
      <c r="P5" s="201">
        <f ca="1">AVERAGE('Fedora Manassas Load Bank Stats'!M16,'Fedora Ft. Worth Load Bank Stat'!L15)*SUM('Dynamic Tracking Chart'!G27:G28)</f>
        <v>51568.834247214611</v>
      </c>
      <c r="Q5" s="68" t="s">
        <v>105</v>
      </c>
      <c r="R5" s="201">
        <f ca="1">'Cost of Ownership Calculation'!Q30+'Cost of Ownership Calculation'!I34+Maintenance!B70</f>
        <v>251157.19581075016</v>
      </c>
      <c r="S5" s="75"/>
      <c r="T5" s="29" t="s">
        <v>22</v>
      </c>
      <c r="U5" s="201">
        <f>'SAT 46 Load Bank Stats'!$C$28</f>
        <v>11800</v>
      </c>
      <c r="V5" s="68" t="s">
        <v>7</v>
      </c>
      <c r="W5" s="201">
        <f ca="1">AVERAGE('CYS08 Load Bank Stats'!$AA$29,'SAT 46 Load Bank Stats'!$J$18)*SUM(G33:G34)</f>
        <v>1041.3739061234487</v>
      </c>
      <c r="X5" s="73"/>
      <c r="Y5" s="73"/>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row>
    <row r="6" spans="1:59" ht="20.25">
      <c r="A6" s="28"/>
      <c r="B6" s="28"/>
      <c r="C6" s="28"/>
      <c r="D6" s="28"/>
      <c r="E6" s="28"/>
      <c r="F6" s="28"/>
      <c r="G6" s="28"/>
      <c r="H6" s="29"/>
      <c r="I6" s="181" t="s">
        <v>242</v>
      </c>
      <c r="J6" s="74">
        <f>SUM(J4:J5)</f>
        <v>68</v>
      </c>
      <c r="K6" s="29"/>
      <c r="L6" s="68" t="s">
        <v>234</v>
      </c>
      <c r="M6" s="69"/>
      <c r="N6" s="201">
        <f>INDEX(Assumptions!B25:D25,1,MATCH($F$40,Assumptions!$B$6:$D$6,0))</f>
        <v>11800</v>
      </c>
      <c r="O6" s="68" t="s">
        <v>413</v>
      </c>
      <c r="P6" s="201">
        <f ca="1">AVERAGE('Fedora Manassas Load Bank Stats'!M17,'Fedora Ft. Worth Load Bank Stat'!L16)*G30</f>
        <v>52034.365663098637</v>
      </c>
      <c r="Q6" s="68" t="s">
        <v>642</v>
      </c>
      <c r="R6" s="201">
        <f ca="1">R4-R5</f>
        <v>7696.0040995630843</v>
      </c>
      <c r="S6" s="29"/>
      <c r="T6" s="29"/>
      <c r="U6" s="29"/>
      <c r="V6" s="68" t="s">
        <v>413</v>
      </c>
      <c r="W6" s="201">
        <f ca="1">'SAT 46 Load Bank Stats'!J13/'SAT 46 Load Bank Stats'!J11*W4</f>
        <v>3368.396159733466</v>
      </c>
      <c r="X6" s="73"/>
      <c r="Y6" s="73"/>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row>
    <row r="7" spans="1:59" ht="24">
      <c r="A7" s="28"/>
      <c r="B7" s="28"/>
      <c r="C7" s="28"/>
      <c r="D7" s="28"/>
      <c r="E7" s="28"/>
      <c r="F7" s="28"/>
      <c r="G7" s="28"/>
      <c r="H7" s="77"/>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c r="BG7" s="79"/>
    </row>
    <row r="8" spans="1:59">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row>
    <row r="9" spans="1:59" ht="15.75" thickBot="1">
      <c r="A9" s="31"/>
      <c r="B9" s="31"/>
      <c r="C9" s="31"/>
      <c r="D9" s="31"/>
      <c r="E9" s="31"/>
      <c r="F9" s="31"/>
      <c r="G9" s="31"/>
      <c r="H9" s="78"/>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78"/>
      <c r="AX9" s="78"/>
      <c r="AY9" s="78"/>
      <c r="AZ9" s="78"/>
      <c r="BA9" s="78"/>
      <c r="BB9" s="78"/>
      <c r="BC9" s="78"/>
      <c r="BD9" s="78"/>
      <c r="BE9" s="78"/>
      <c r="BF9" s="78"/>
      <c r="BG9" s="78"/>
    </row>
    <row r="10" spans="1:59">
      <c r="A10" s="9" t="s">
        <v>224</v>
      </c>
      <c r="B10" s="9"/>
      <c r="C10" s="9"/>
      <c r="D10" s="9"/>
      <c r="E10" s="9"/>
      <c r="F10" s="9"/>
      <c r="G10" s="9"/>
      <c r="H10" s="182">
        <v>1</v>
      </c>
      <c r="I10" s="182">
        <v>2</v>
      </c>
      <c r="J10" s="182">
        <v>3</v>
      </c>
      <c r="K10" s="182">
        <v>4</v>
      </c>
      <c r="L10" s="182">
        <v>5</v>
      </c>
      <c r="M10" s="182">
        <v>6</v>
      </c>
      <c r="N10" s="182">
        <v>7</v>
      </c>
      <c r="O10" s="182">
        <v>8</v>
      </c>
      <c r="P10" s="182">
        <v>9</v>
      </c>
      <c r="Q10" s="182">
        <v>10</v>
      </c>
      <c r="R10" s="182">
        <v>11</v>
      </c>
      <c r="S10" s="182">
        <v>12</v>
      </c>
      <c r="T10" s="182">
        <v>13</v>
      </c>
      <c r="U10" s="182">
        <v>14</v>
      </c>
      <c r="V10" s="182">
        <v>15</v>
      </c>
      <c r="W10" s="182">
        <v>16</v>
      </c>
      <c r="X10" s="182">
        <v>17</v>
      </c>
      <c r="Y10" s="182">
        <v>18</v>
      </c>
      <c r="Z10" s="182">
        <v>19</v>
      </c>
      <c r="AA10" s="182">
        <v>20</v>
      </c>
      <c r="AB10" s="182">
        <v>21</v>
      </c>
      <c r="AC10" s="182">
        <v>22</v>
      </c>
      <c r="AD10" s="182">
        <v>23</v>
      </c>
      <c r="AE10" s="182">
        <v>24</v>
      </c>
      <c r="AF10" s="182">
        <v>25</v>
      </c>
      <c r="AG10" s="182">
        <v>26</v>
      </c>
      <c r="AH10" s="182">
        <v>27</v>
      </c>
      <c r="AI10" s="182">
        <v>28</v>
      </c>
      <c r="AJ10" s="182">
        <v>29</v>
      </c>
      <c r="AK10" s="182">
        <v>30</v>
      </c>
      <c r="AL10" s="182">
        <v>31</v>
      </c>
      <c r="AM10" s="182">
        <v>32</v>
      </c>
      <c r="AN10" s="182">
        <v>33</v>
      </c>
      <c r="AO10" s="182">
        <v>34</v>
      </c>
      <c r="AP10" s="182">
        <v>35</v>
      </c>
      <c r="AQ10" s="182">
        <v>36</v>
      </c>
      <c r="AR10" s="182">
        <v>37</v>
      </c>
      <c r="AS10" s="182">
        <v>38</v>
      </c>
      <c r="AT10" s="182">
        <v>39</v>
      </c>
      <c r="AU10" s="182">
        <v>40</v>
      </c>
      <c r="AV10" s="182">
        <v>41</v>
      </c>
      <c r="AW10" s="182">
        <v>42</v>
      </c>
      <c r="AX10" s="182">
        <v>43</v>
      </c>
      <c r="AY10" s="182">
        <v>44</v>
      </c>
      <c r="AZ10" s="182">
        <v>45</v>
      </c>
      <c r="BA10" s="182">
        <v>46</v>
      </c>
      <c r="BB10" s="182">
        <v>47</v>
      </c>
      <c r="BC10" s="182">
        <v>48</v>
      </c>
      <c r="BD10" s="182">
        <v>49</v>
      </c>
      <c r="BE10" s="182">
        <v>50</v>
      </c>
      <c r="BF10" s="182">
        <v>51</v>
      </c>
      <c r="BG10" s="182">
        <v>52</v>
      </c>
    </row>
    <row r="11" spans="1:59">
      <c r="A11" s="183" t="s">
        <v>3</v>
      </c>
      <c r="B11" s="283"/>
      <c r="C11" s="283"/>
      <c r="D11" s="283"/>
      <c r="E11" s="283"/>
      <c r="F11" s="283"/>
      <c r="G11" s="283"/>
      <c r="H11" s="209">
        <f ca="1">SUM(H19,H30,H20,H31)</f>
        <v>68</v>
      </c>
      <c r="I11" s="209">
        <f t="shared" ref="I11:AM11" ca="1" si="0">SUM(I19,I30,I20,I31)</f>
        <v>0</v>
      </c>
      <c r="J11" s="209">
        <f t="shared" ca="1" si="0"/>
        <v>0</v>
      </c>
      <c r="K11" s="209">
        <f t="shared" ca="1" si="0"/>
        <v>0</v>
      </c>
      <c r="L11" s="209">
        <f t="shared" ca="1" si="0"/>
        <v>0</v>
      </c>
      <c r="M11" s="209">
        <f t="shared" ca="1" si="0"/>
        <v>0</v>
      </c>
      <c r="N11" s="209">
        <f t="shared" ca="1" si="0"/>
        <v>0</v>
      </c>
      <c r="O11" s="209">
        <f t="shared" ca="1" si="0"/>
        <v>0</v>
      </c>
      <c r="P11" s="209">
        <f t="shared" ca="1" si="0"/>
        <v>0</v>
      </c>
      <c r="Q11" s="209">
        <f t="shared" ca="1" si="0"/>
        <v>0</v>
      </c>
      <c r="R11" s="209">
        <f t="shared" ca="1" si="0"/>
        <v>0</v>
      </c>
      <c r="S11" s="209">
        <f t="shared" ca="1" si="0"/>
        <v>68</v>
      </c>
      <c r="T11" s="209">
        <f t="shared" ca="1" si="0"/>
        <v>0</v>
      </c>
      <c r="U11" s="209">
        <f t="shared" ca="1" si="0"/>
        <v>25</v>
      </c>
      <c r="V11" s="209">
        <f t="shared" ca="1" si="0"/>
        <v>0</v>
      </c>
      <c r="W11" s="209">
        <f t="shared" ca="1" si="0"/>
        <v>0</v>
      </c>
      <c r="X11" s="209">
        <f t="shared" ca="1" si="0"/>
        <v>0</v>
      </c>
      <c r="Y11" s="209">
        <f t="shared" ca="1" si="0"/>
        <v>25</v>
      </c>
      <c r="Z11" s="209">
        <f t="shared" ca="1" si="0"/>
        <v>0</v>
      </c>
      <c r="AA11" s="209">
        <f t="shared" ca="1" si="0"/>
        <v>25</v>
      </c>
      <c r="AB11" s="209">
        <f t="shared" ca="1" si="0"/>
        <v>0</v>
      </c>
      <c r="AC11" s="209">
        <f t="shared" ca="1" si="0"/>
        <v>0</v>
      </c>
      <c r="AD11" s="209">
        <f t="shared" ca="1" si="0"/>
        <v>0</v>
      </c>
      <c r="AE11" s="209">
        <f t="shared" ca="1" si="0"/>
        <v>25</v>
      </c>
      <c r="AF11" s="209">
        <f t="shared" ca="1" si="0"/>
        <v>0</v>
      </c>
      <c r="AG11" s="209">
        <f t="shared" ca="1" si="0"/>
        <v>25</v>
      </c>
      <c r="AH11" s="209">
        <f t="shared" ca="1" si="0"/>
        <v>0</v>
      </c>
      <c r="AI11" s="209">
        <f t="shared" ca="1" si="0"/>
        <v>0</v>
      </c>
      <c r="AJ11" s="209">
        <f t="shared" ca="1" si="0"/>
        <v>0</v>
      </c>
      <c r="AK11" s="209">
        <f t="shared" ca="1" si="0"/>
        <v>25</v>
      </c>
      <c r="AL11" s="209">
        <f t="shared" ca="1" si="0"/>
        <v>0</v>
      </c>
      <c r="AM11" s="209">
        <f t="shared" ca="1" si="0"/>
        <v>25</v>
      </c>
      <c r="AN11" s="209">
        <f t="shared" ref="AN11:BG11" ca="1" si="1">SUM(AN19,AN30,AN20,AN31)</f>
        <v>0</v>
      </c>
      <c r="AO11" s="209">
        <f t="shared" ca="1" si="1"/>
        <v>0</v>
      </c>
      <c r="AP11" s="209">
        <f t="shared" ca="1" si="1"/>
        <v>0</v>
      </c>
      <c r="AQ11" s="209">
        <f t="shared" ca="1" si="1"/>
        <v>25</v>
      </c>
      <c r="AR11" s="209">
        <f t="shared" ca="1" si="1"/>
        <v>0</v>
      </c>
      <c r="AS11" s="209">
        <f t="shared" ca="1" si="1"/>
        <v>25</v>
      </c>
      <c r="AT11" s="209">
        <f t="shared" ca="1" si="1"/>
        <v>0</v>
      </c>
      <c r="AU11" s="209">
        <f t="shared" ca="1" si="1"/>
        <v>0</v>
      </c>
      <c r="AV11" s="209">
        <f t="shared" ca="1" si="1"/>
        <v>0</v>
      </c>
      <c r="AW11" s="209">
        <f t="shared" ca="1" si="1"/>
        <v>25</v>
      </c>
      <c r="AX11" s="209">
        <f t="shared" ca="1" si="1"/>
        <v>0</v>
      </c>
      <c r="AY11" s="209">
        <f t="shared" ca="1" si="1"/>
        <v>25</v>
      </c>
      <c r="AZ11" s="209">
        <f t="shared" ca="1" si="1"/>
        <v>0</v>
      </c>
      <c r="BA11" s="209">
        <f t="shared" ca="1" si="1"/>
        <v>0</v>
      </c>
      <c r="BB11" s="209">
        <f t="shared" ca="1" si="1"/>
        <v>0</v>
      </c>
      <c r="BC11" s="209">
        <f t="shared" ca="1" si="1"/>
        <v>25</v>
      </c>
      <c r="BD11" s="209">
        <f t="shared" ca="1" si="1"/>
        <v>0</v>
      </c>
      <c r="BE11" s="209">
        <f t="shared" ca="1" si="1"/>
        <v>0</v>
      </c>
      <c r="BF11" s="209">
        <f t="shared" ca="1" si="1"/>
        <v>0</v>
      </c>
      <c r="BG11" s="209">
        <f t="shared" ca="1" si="1"/>
        <v>0</v>
      </c>
    </row>
    <row r="12" spans="1:59">
      <c r="A12" s="184" t="s">
        <v>225</v>
      </c>
      <c r="B12" s="187"/>
      <c r="C12" s="187"/>
      <c r="D12" s="187"/>
      <c r="E12" s="187"/>
      <c r="F12" s="187"/>
      <c r="G12" s="187"/>
      <c r="H12" s="209">
        <f ca="1">SUM(H21,H22)</f>
        <v>0</v>
      </c>
      <c r="I12" s="209">
        <f ca="1">SUM(I21,I22)</f>
        <v>68</v>
      </c>
      <c r="J12" s="209">
        <f t="shared" ref="I12:BG12" ca="1" si="2">SUM(J21,J22)</f>
        <v>68</v>
      </c>
      <c r="K12" s="209">
        <f t="shared" ca="1" si="2"/>
        <v>68</v>
      </c>
      <c r="L12" s="209">
        <f t="shared" ca="1" si="2"/>
        <v>68</v>
      </c>
      <c r="M12" s="209">
        <f t="shared" ca="1" si="2"/>
        <v>68</v>
      </c>
      <c r="N12" s="209">
        <f t="shared" ca="1" si="2"/>
        <v>68</v>
      </c>
      <c r="O12" s="209">
        <f t="shared" ca="1" si="2"/>
        <v>68</v>
      </c>
      <c r="P12" s="209">
        <f t="shared" ca="1" si="2"/>
        <v>68</v>
      </c>
      <c r="Q12" s="209">
        <f t="shared" ca="1" si="2"/>
        <v>68</v>
      </c>
      <c r="R12" s="209">
        <f t="shared" ca="1" si="2"/>
        <v>68</v>
      </c>
      <c r="S12" s="209">
        <f t="shared" ca="1" si="2"/>
        <v>0</v>
      </c>
      <c r="T12" s="209">
        <f t="shared" ca="1" si="2"/>
        <v>0</v>
      </c>
      <c r="U12" s="209">
        <f t="shared" ca="1" si="2"/>
        <v>0</v>
      </c>
      <c r="V12" s="209">
        <f t="shared" ca="1" si="2"/>
        <v>0</v>
      </c>
      <c r="W12" s="209">
        <f t="shared" ca="1" si="2"/>
        <v>0</v>
      </c>
      <c r="X12" s="209">
        <f t="shared" ca="1" si="2"/>
        <v>0</v>
      </c>
      <c r="Y12" s="209">
        <f t="shared" ca="1" si="2"/>
        <v>0</v>
      </c>
      <c r="Z12" s="209">
        <f t="shared" ca="1" si="2"/>
        <v>0</v>
      </c>
      <c r="AA12" s="209">
        <f t="shared" ca="1" si="2"/>
        <v>0</v>
      </c>
      <c r="AB12" s="209">
        <f t="shared" ca="1" si="2"/>
        <v>0</v>
      </c>
      <c r="AC12" s="209">
        <f t="shared" ca="1" si="2"/>
        <v>0</v>
      </c>
      <c r="AD12" s="209">
        <f t="shared" ca="1" si="2"/>
        <v>0</v>
      </c>
      <c r="AE12" s="209">
        <f t="shared" ca="1" si="2"/>
        <v>0</v>
      </c>
      <c r="AF12" s="209">
        <f t="shared" ca="1" si="2"/>
        <v>0</v>
      </c>
      <c r="AG12" s="209">
        <f t="shared" ca="1" si="2"/>
        <v>0</v>
      </c>
      <c r="AH12" s="209">
        <f t="shared" ca="1" si="2"/>
        <v>0</v>
      </c>
      <c r="AI12" s="209">
        <f t="shared" ca="1" si="2"/>
        <v>0</v>
      </c>
      <c r="AJ12" s="209">
        <f t="shared" ca="1" si="2"/>
        <v>0</v>
      </c>
      <c r="AK12" s="209">
        <f t="shared" ca="1" si="2"/>
        <v>0</v>
      </c>
      <c r="AL12" s="209">
        <f t="shared" ca="1" si="2"/>
        <v>0</v>
      </c>
      <c r="AM12" s="209">
        <f t="shared" ca="1" si="2"/>
        <v>0</v>
      </c>
      <c r="AN12" s="209">
        <f t="shared" ca="1" si="2"/>
        <v>0</v>
      </c>
      <c r="AO12" s="209">
        <f t="shared" ca="1" si="2"/>
        <v>0</v>
      </c>
      <c r="AP12" s="209">
        <f t="shared" ca="1" si="2"/>
        <v>0</v>
      </c>
      <c r="AQ12" s="209">
        <f t="shared" ca="1" si="2"/>
        <v>0</v>
      </c>
      <c r="AR12" s="209">
        <f t="shared" ca="1" si="2"/>
        <v>0</v>
      </c>
      <c r="AS12" s="209">
        <f t="shared" ca="1" si="2"/>
        <v>0</v>
      </c>
      <c r="AT12" s="209">
        <f t="shared" ca="1" si="2"/>
        <v>0</v>
      </c>
      <c r="AU12" s="209">
        <f t="shared" ca="1" si="2"/>
        <v>0</v>
      </c>
      <c r="AV12" s="209">
        <f t="shared" ca="1" si="2"/>
        <v>0</v>
      </c>
      <c r="AW12" s="209">
        <f t="shared" ca="1" si="2"/>
        <v>0</v>
      </c>
      <c r="AX12" s="209">
        <f t="shared" ca="1" si="2"/>
        <v>0</v>
      </c>
      <c r="AY12" s="209">
        <f t="shared" ca="1" si="2"/>
        <v>0</v>
      </c>
      <c r="AZ12" s="209">
        <f t="shared" ca="1" si="2"/>
        <v>0</v>
      </c>
      <c r="BA12" s="209">
        <f t="shared" ca="1" si="2"/>
        <v>0</v>
      </c>
      <c r="BB12" s="209">
        <f t="shared" ca="1" si="2"/>
        <v>0</v>
      </c>
      <c r="BC12" s="209">
        <f t="shared" ca="1" si="2"/>
        <v>0</v>
      </c>
      <c r="BD12" s="209">
        <f t="shared" ca="1" si="2"/>
        <v>0</v>
      </c>
      <c r="BE12" s="209">
        <f t="shared" ca="1" si="2"/>
        <v>0</v>
      </c>
      <c r="BF12" s="209">
        <f t="shared" ca="1" si="2"/>
        <v>0</v>
      </c>
      <c r="BG12" s="209">
        <f t="shared" ca="1" si="2"/>
        <v>0</v>
      </c>
    </row>
    <row r="13" spans="1:59">
      <c r="A13" s="186" t="s">
        <v>226</v>
      </c>
      <c r="B13" s="188"/>
      <c r="C13" s="188"/>
      <c r="D13" s="188"/>
      <c r="E13" s="188"/>
      <c r="F13" s="188"/>
      <c r="G13" s="188"/>
      <c r="H13" s="209">
        <f ca="1">SUM(H23)</f>
        <v>0</v>
      </c>
      <c r="I13" s="209">
        <f t="shared" ref="I13:BG13" ca="1" si="3">SUM(I23)</f>
        <v>0</v>
      </c>
      <c r="J13" s="209">
        <f t="shared" ca="1" si="3"/>
        <v>0</v>
      </c>
      <c r="K13" s="209">
        <f t="shared" ca="1" si="3"/>
        <v>0</v>
      </c>
      <c r="L13" s="209">
        <f t="shared" ca="1" si="3"/>
        <v>0</v>
      </c>
      <c r="M13" s="209">
        <f t="shared" ca="1" si="3"/>
        <v>0</v>
      </c>
      <c r="N13" s="209">
        <f t="shared" ca="1" si="3"/>
        <v>0</v>
      </c>
      <c r="O13" s="209">
        <f t="shared" ca="1" si="3"/>
        <v>0</v>
      </c>
      <c r="P13" s="209">
        <f t="shared" ca="1" si="3"/>
        <v>0</v>
      </c>
      <c r="Q13" s="209">
        <f t="shared" ca="1" si="3"/>
        <v>0</v>
      </c>
      <c r="R13" s="209">
        <f t="shared" ca="1" si="3"/>
        <v>0</v>
      </c>
      <c r="S13" s="209">
        <f t="shared" ca="1" si="3"/>
        <v>0</v>
      </c>
      <c r="T13" s="209">
        <f t="shared" ca="1" si="3"/>
        <v>0</v>
      </c>
      <c r="U13" s="209">
        <f t="shared" ca="1" si="3"/>
        <v>0</v>
      </c>
      <c r="V13" s="209">
        <f t="shared" ca="1" si="3"/>
        <v>0</v>
      </c>
      <c r="W13" s="209">
        <f t="shared" ca="1" si="3"/>
        <v>0</v>
      </c>
      <c r="X13" s="209">
        <f t="shared" ca="1" si="3"/>
        <v>0</v>
      </c>
      <c r="Y13" s="209">
        <f t="shared" ca="1" si="3"/>
        <v>0</v>
      </c>
      <c r="Z13" s="209">
        <f t="shared" ca="1" si="3"/>
        <v>0</v>
      </c>
      <c r="AA13" s="209">
        <f t="shared" ca="1" si="3"/>
        <v>0</v>
      </c>
      <c r="AB13" s="209">
        <f t="shared" ca="1" si="3"/>
        <v>0</v>
      </c>
      <c r="AC13" s="209">
        <f t="shared" ca="1" si="3"/>
        <v>0</v>
      </c>
      <c r="AD13" s="209">
        <f t="shared" ca="1" si="3"/>
        <v>0</v>
      </c>
      <c r="AE13" s="209">
        <f t="shared" ca="1" si="3"/>
        <v>0</v>
      </c>
      <c r="AF13" s="209">
        <f t="shared" ca="1" si="3"/>
        <v>0</v>
      </c>
      <c r="AG13" s="209">
        <f t="shared" ca="1" si="3"/>
        <v>0</v>
      </c>
      <c r="AH13" s="209">
        <f t="shared" ca="1" si="3"/>
        <v>0</v>
      </c>
      <c r="AI13" s="209">
        <f t="shared" ca="1" si="3"/>
        <v>0</v>
      </c>
      <c r="AJ13" s="209">
        <f t="shared" ca="1" si="3"/>
        <v>0</v>
      </c>
      <c r="AK13" s="209">
        <f t="shared" ca="1" si="3"/>
        <v>0</v>
      </c>
      <c r="AL13" s="209">
        <f t="shared" ca="1" si="3"/>
        <v>0</v>
      </c>
      <c r="AM13" s="209">
        <f t="shared" ca="1" si="3"/>
        <v>0</v>
      </c>
      <c r="AN13" s="209">
        <f t="shared" ca="1" si="3"/>
        <v>0</v>
      </c>
      <c r="AO13" s="209">
        <f t="shared" ca="1" si="3"/>
        <v>0</v>
      </c>
      <c r="AP13" s="209">
        <f t="shared" ca="1" si="3"/>
        <v>0</v>
      </c>
      <c r="AQ13" s="209">
        <f t="shared" ca="1" si="3"/>
        <v>0</v>
      </c>
      <c r="AR13" s="209">
        <f t="shared" ca="1" si="3"/>
        <v>0</v>
      </c>
      <c r="AS13" s="209">
        <f t="shared" ca="1" si="3"/>
        <v>0</v>
      </c>
      <c r="AT13" s="209">
        <f t="shared" ca="1" si="3"/>
        <v>0</v>
      </c>
      <c r="AU13" s="209">
        <f t="shared" ca="1" si="3"/>
        <v>0</v>
      </c>
      <c r="AV13" s="209">
        <f t="shared" ca="1" si="3"/>
        <v>0</v>
      </c>
      <c r="AW13" s="209">
        <f t="shared" ca="1" si="3"/>
        <v>0</v>
      </c>
      <c r="AX13" s="209">
        <f t="shared" ca="1" si="3"/>
        <v>0</v>
      </c>
      <c r="AY13" s="209">
        <f t="shared" ca="1" si="3"/>
        <v>0</v>
      </c>
      <c r="AZ13" s="209">
        <f t="shared" ca="1" si="3"/>
        <v>0</v>
      </c>
      <c r="BA13" s="209">
        <f t="shared" ca="1" si="3"/>
        <v>0</v>
      </c>
      <c r="BB13" s="209">
        <f t="shared" ca="1" si="3"/>
        <v>0</v>
      </c>
      <c r="BC13" s="209">
        <f t="shared" ca="1" si="3"/>
        <v>0</v>
      </c>
      <c r="BD13" s="209">
        <f t="shared" ca="1" si="3"/>
        <v>0</v>
      </c>
      <c r="BE13" s="209">
        <f t="shared" ca="1" si="3"/>
        <v>0</v>
      </c>
      <c r="BF13" s="209">
        <f t="shared" ca="1" si="3"/>
        <v>0</v>
      </c>
      <c r="BG13" s="209">
        <f t="shared" ca="1" si="3"/>
        <v>0</v>
      </c>
    </row>
    <row r="14" spans="1:59">
      <c r="A14" s="264" t="s">
        <v>227</v>
      </c>
      <c r="B14" s="204"/>
      <c r="C14" s="204"/>
      <c r="D14" s="204"/>
      <c r="E14" s="204"/>
      <c r="F14" s="204"/>
      <c r="G14" s="204"/>
      <c r="H14" s="209">
        <f ca="1">SUM(H24:H25,H32)</f>
        <v>0</v>
      </c>
      <c r="I14" s="209">
        <f t="shared" ref="I14:BG14" ca="1" si="4">SUM(I24:I25,I32)</f>
        <v>0</v>
      </c>
      <c r="J14" s="209">
        <f t="shared" ca="1" si="4"/>
        <v>0</v>
      </c>
      <c r="K14" s="209">
        <f t="shared" ca="1" si="4"/>
        <v>0</v>
      </c>
      <c r="L14" s="209">
        <f t="shared" ca="1" si="4"/>
        <v>0</v>
      </c>
      <c r="M14" s="209">
        <f t="shared" ca="1" si="4"/>
        <v>0</v>
      </c>
      <c r="N14" s="209">
        <f t="shared" ca="1" si="4"/>
        <v>0</v>
      </c>
      <c r="O14" s="209">
        <f t="shared" ca="1" si="4"/>
        <v>0</v>
      </c>
      <c r="P14" s="209">
        <f t="shared" ca="1" si="4"/>
        <v>0</v>
      </c>
      <c r="Q14" s="209">
        <f t="shared" ca="1" si="4"/>
        <v>0</v>
      </c>
      <c r="R14" s="209">
        <f t="shared" ca="1" si="4"/>
        <v>0</v>
      </c>
      <c r="S14" s="209">
        <f t="shared" ca="1" si="4"/>
        <v>0</v>
      </c>
      <c r="T14" s="209">
        <f t="shared" ca="1" si="4"/>
        <v>68</v>
      </c>
      <c r="U14" s="209">
        <f t="shared" ca="1" si="4"/>
        <v>0</v>
      </c>
      <c r="V14" s="209">
        <f t="shared" ca="1" si="4"/>
        <v>0</v>
      </c>
      <c r="W14" s="209">
        <f t="shared" ca="1" si="4"/>
        <v>0</v>
      </c>
      <c r="X14" s="209">
        <f t="shared" ca="1" si="4"/>
        <v>0</v>
      </c>
      <c r="Y14" s="209">
        <f t="shared" ca="1" si="4"/>
        <v>0</v>
      </c>
      <c r="Z14" s="209">
        <f t="shared" ca="1" si="4"/>
        <v>25</v>
      </c>
      <c r="AA14" s="209">
        <f t="shared" ca="1" si="4"/>
        <v>0</v>
      </c>
      <c r="AB14" s="209">
        <f t="shared" ca="1" si="4"/>
        <v>0</v>
      </c>
      <c r="AC14" s="209">
        <f t="shared" ca="1" si="4"/>
        <v>0</v>
      </c>
      <c r="AD14" s="209">
        <f t="shared" ca="1" si="4"/>
        <v>0</v>
      </c>
      <c r="AE14" s="209">
        <f t="shared" ca="1" si="4"/>
        <v>0</v>
      </c>
      <c r="AF14" s="209">
        <f t="shared" ca="1" si="4"/>
        <v>25</v>
      </c>
      <c r="AG14" s="209">
        <f t="shared" ca="1" si="4"/>
        <v>0</v>
      </c>
      <c r="AH14" s="209">
        <f t="shared" ca="1" si="4"/>
        <v>0</v>
      </c>
      <c r="AI14" s="209">
        <f t="shared" ca="1" si="4"/>
        <v>0</v>
      </c>
      <c r="AJ14" s="209">
        <f t="shared" ca="1" si="4"/>
        <v>0</v>
      </c>
      <c r="AK14" s="209">
        <f t="shared" ca="1" si="4"/>
        <v>0</v>
      </c>
      <c r="AL14" s="209">
        <f t="shared" ca="1" si="4"/>
        <v>25</v>
      </c>
      <c r="AM14" s="209">
        <f t="shared" ca="1" si="4"/>
        <v>0</v>
      </c>
      <c r="AN14" s="209">
        <f t="shared" ca="1" si="4"/>
        <v>0</v>
      </c>
      <c r="AO14" s="209">
        <f t="shared" ca="1" si="4"/>
        <v>0</v>
      </c>
      <c r="AP14" s="209">
        <f t="shared" ca="1" si="4"/>
        <v>0</v>
      </c>
      <c r="AQ14" s="209">
        <f t="shared" ca="1" si="4"/>
        <v>0</v>
      </c>
      <c r="AR14" s="209">
        <f t="shared" ca="1" si="4"/>
        <v>25</v>
      </c>
      <c r="AS14" s="209">
        <f t="shared" ca="1" si="4"/>
        <v>0</v>
      </c>
      <c r="AT14" s="209">
        <f t="shared" ca="1" si="4"/>
        <v>0</v>
      </c>
      <c r="AU14" s="209">
        <f t="shared" ca="1" si="4"/>
        <v>0</v>
      </c>
      <c r="AV14" s="209">
        <f t="shared" ca="1" si="4"/>
        <v>0</v>
      </c>
      <c r="AW14" s="209">
        <f t="shared" ca="1" si="4"/>
        <v>0</v>
      </c>
      <c r="AX14" s="209">
        <f t="shared" ca="1" si="4"/>
        <v>25</v>
      </c>
      <c r="AY14" s="209">
        <f t="shared" ca="1" si="4"/>
        <v>0</v>
      </c>
      <c r="AZ14" s="209">
        <f t="shared" ca="1" si="4"/>
        <v>0</v>
      </c>
      <c r="BA14" s="209">
        <f t="shared" ca="1" si="4"/>
        <v>0</v>
      </c>
      <c r="BB14" s="209">
        <f t="shared" ca="1" si="4"/>
        <v>0</v>
      </c>
      <c r="BC14" s="209">
        <f t="shared" ca="1" si="4"/>
        <v>0</v>
      </c>
      <c r="BD14" s="209">
        <f ca="1">SUM(BD24:BD25,BD32)</f>
        <v>25</v>
      </c>
      <c r="BE14" s="209">
        <f t="shared" ca="1" si="4"/>
        <v>0</v>
      </c>
      <c r="BF14" s="209">
        <f t="shared" ca="1" si="4"/>
        <v>0</v>
      </c>
      <c r="BG14" s="209">
        <f t="shared" ca="1" si="4"/>
        <v>0</v>
      </c>
    </row>
    <row r="15" spans="1:59">
      <c r="A15" s="262" t="s">
        <v>349</v>
      </c>
      <c r="B15" s="263"/>
      <c r="C15" s="263"/>
      <c r="D15" s="263"/>
      <c r="E15" s="263"/>
      <c r="F15" s="263"/>
      <c r="G15" s="263"/>
      <c r="H15" s="209">
        <f ca="1">H26</f>
        <v>0</v>
      </c>
      <c r="I15" s="209">
        <f t="shared" ref="I15:BG15" ca="1" si="5">I26</f>
        <v>0</v>
      </c>
      <c r="J15" s="209">
        <f t="shared" ca="1" si="5"/>
        <v>0</v>
      </c>
      <c r="K15" s="209">
        <f t="shared" ca="1" si="5"/>
        <v>0</v>
      </c>
      <c r="L15" s="209">
        <f t="shared" ca="1" si="5"/>
        <v>0</v>
      </c>
      <c r="M15" s="209">
        <f t="shared" ca="1" si="5"/>
        <v>0</v>
      </c>
      <c r="N15" s="209">
        <f t="shared" ca="1" si="5"/>
        <v>0</v>
      </c>
      <c r="O15" s="209">
        <f t="shared" ca="1" si="5"/>
        <v>0</v>
      </c>
      <c r="P15" s="209">
        <f t="shared" ca="1" si="5"/>
        <v>0</v>
      </c>
      <c r="Q15" s="209">
        <f t="shared" ca="1" si="5"/>
        <v>0</v>
      </c>
      <c r="R15" s="209">
        <f t="shared" ca="1" si="5"/>
        <v>0</v>
      </c>
      <c r="S15" s="209">
        <f t="shared" ca="1" si="5"/>
        <v>0</v>
      </c>
      <c r="T15" s="209">
        <f t="shared" ca="1" si="5"/>
        <v>0</v>
      </c>
      <c r="U15" s="209">
        <f t="shared" ca="1" si="5"/>
        <v>43</v>
      </c>
      <c r="V15" s="209">
        <f t="shared" ca="1" si="5"/>
        <v>43</v>
      </c>
      <c r="W15" s="209">
        <f t="shared" ca="1" si="5"/>
        <v>43</v>
      </c>
      <c r="X15" s="209">
        <f t="shared" ca="1" si="5"/>
        <v>43</v>
      </c>
      <c r="Y15" s="209">
        <f t="shared" ca="1" si="5"/>
        <v>43</v>
      </c>
      <c r="Z15" s="209">
        <f t="shared" ca="1" si="5"/>
        <v>68</v>
      </c>
      <c r="AA15" s="209">
        <f t="shared" ca="1" si="5"/>
        <v>43</v>
      </c>
      <c r="AB15" s="209">
        <f t="shared" ca="1" si="5"/>
        <v>43</v>
      </c>
      <c r="AC15" s="209">
        <f t="shared" ca="1" si="5"/>
        <v>43</v>
      </c>
      <c r="AD15" s="209">
        <f t="shared" ca="1" si="5"/>
        <v>43</v>
      </c>
      <c r="AE15" s="209">
        <f t="shared" ca="1" si="5"/>
        <v>43</v>
      </c>
      <c r="AF15" s="209">
        <f t="shared" ca="1" si="5"/>
        <v>68</v>
      </c>
      <c r="AG15" s="209">
        <f t="shared" ca="1" si="5"/>
        <v>43</v>
      </c>
      <c r="AH15" s="209">
        <f t="shared" ca="1" si="5"/>
        <v>43</v>
      </c>
      <c r="AI15" s="209">
        <f t="shared" ca="1" si="5"/>
        <v>43</v>
      </c>
      <c r="AJ15" s="209">
        <f t="shared" ca="1" si="5"/>
        <v>43</v>
      </c>
      <c r="AK15" s="209">
        <f t="shared" ca="1" si="5"/>
        <v>43</v>
      </c>
      <c r="AL15" s="209">
        <f t="shared" ca="1" si="5"/>
        <v>68</v>
      </c>
      <c r="AM15" s="209">
        <f t="shared" ca="1" si="5"/>
        <v>43</v>
      </c>
      <c r="AN15" s="209">
        <f t="shared" ca="1" si="5"/>
        <v>43</v>
      </c>
      <c r="AO15" s="209">
        <f t="shared" ca="1" si="5"/>
        <v>43</v>
      </c>
      <c r="AP15" s="209">
        <f t="shared" ca="1" si="5"/>
        <v>43</v>
      </c>
      <c r="AQ15" s="209">
        <f t="shared" ca="1" si="5"/>
        <v>43</v>
      </c>
      <c r="AR15" s="209">
        <f t="shared" ca="1" si="5"/>
        <v>68</v>
      </c>
      <c r="AS15" s="209">
        <f t="shared" ca="1" si="5"/>
        <v>43</v>
      </c>
      <c r="AT15" s="209">
        <f t="shared" ca="1" si="5"/>
        <v>43</v>
      </c>
      <c r="AU15" s="209">
        <f t="shared" ca="1" si="5"/>
        <v>43</v>
      </c>
      <c r="AV15" s="209">
        <f t="shared" ca="1" si="5"/>
        <v>43</v>
      </c>
      <c r="AW15" s="209">
        <f t="shared" ca="1" si="5"/>
        <v>43</v>
      </c>
      <c r="AX15" s="209">
        <f t="shared" ca="1" si="5"/>
        <v>68</v>
      </c>
      <c r="AY15" s="209">
        <f t="shared" ca="1" si="5"/>
        <v>43</v>
      </c>
      <c r="AZ15" s="209">
        <f t="shared" ca="1" si="5"/>
        <v>43</v>
      </c>
      <c r="BA15" s="209">
        <f t="shared" ca="1" si="5"/>
        <v>43</v>
      </c>
      <c r="BB15" s="209">
        <f t="shared" ca="1" si="5"/>
        <v>43</v>
      </c>
      <c r="BC15" s="209">
        <f t="shared" ca="1" si="5"/>
        <v>43</v>
      </c>
      <c r="BD15" s="209">
        <f t="shared" ca="1" si="5"/>
        <v>68</v>
      </c>
      <c r="BE15" s="209">
        <f t="shared" ca="1" si="5"/>
        <v>68</v>
      </c>
      <c r="BF15" s="209">
        <f t="shared" ca="1" si="5"/>
        <v>68</v>
      </c>
      <c r="BG15" s="209">
        <f t="shared" ca="1" si="5"/>
        <v>68</v>
      </c>
    </row>
    <row r="16" spans="1:59">
      <c r="A16" s="185" t="s">
        <v>564</v>
      </c>
      <c r="B16" s="294"/>
      <c r="C16" s="189"/>
      <c r="D16" s="189"/>
      <c r="E16" s="189"/>
      <c r="F16" s="189"/>
      <c r="G16" s="294"/>
      <c r="H16" s="209">
        <f ca="1">SUM(H27:H29)</f>
        <v>0</v>
      </c>
      <c r="I16" s="209">
        <f ca="1">SUM(I27:I29)</f>
        <v>0</v>
      </c>
      <c r="J16" s="209">
        <f t="shared" ref="I16:BG16" ca="1" si="6">SUM(J27:J29)</f>
        <v>0</v>
      </c>
      <c r="K16" s="209">
        <f t="shared" ca="1" si="6"/>
        <v>0</v>
      </c>
      <c r="L16" s="209">
        <f t="shared" ca="1" si="6"/>
        <v>0</v>
      </c>
      <c r="M16" s="209">
        <f t="shared" ca="1" si="6"/>
        <v>0</v>
      </c>
      <c r="N16" s="209">
        <f t="shared" ca="1" si="6"/>
        <v>0</v>
      </c>
      <c r="O16" s="209">
        <f t="shared" ca="1" si="6"/>
        <v>0</v>
      </c>
      <c r="P16" s="209">
        <f t="shared" ca="1" si="6"/>
        <v>0</v>
      </c>
      <c r="Q16" s="209">
        <f t="shared" ca="1" si="6"/>
        <v>0</v>
      </c>
      <c r="R16" s="209">
        <f t="shared" ca="1" si="6"/>
        <v>0</v>
      </c>
      <c r="S16" s="209">
        <f t="shared" ca="1" si="6"/>
        <v>0</v>
      </c>
      <c r="T16" s="209">
        <f t="shared" ca="1" si="6"/>
        <v>0</v>
      </c>
      <c r="U16" s="209">
        <f t="shared" ca="1" si="6"/>
        <v>0</v>
      </c>
      <c r="V16" s="209">
        <f ca="1">SUM(V27:V29)</f>
        <v>25</v>
      </c>
      <c r="W16" s="209">
        <f t="shared" ca="1" si="6"/>
        <v>25</v>
      </c>
      <c r="X16" s="209">
        <f t="shared" ca="1" si="6"/>
        <v>25</v>
      </c>
      <c r="Y16" s="209">
        <f t="shared" ca="1" si="6"/>
        <v>0</v>
      </c>
      <c r="Z16" s="209">
        <f t="shared" ca="1" si="6"/>
        <v>0</v>
      </c>
      <c r="AA16" s="209">
        <f t="shared" ca="1" si="6"/>
        <v>0</v>
      </c>
      <c r="AB16" s="209">
        <f t="shared" ca="1" si="6"/>
        <v>25</v>
      </c>
      <c r="AC16" s="209">
        <f t="shared" ca="1" si="6"/>
        <v>25</v>
      </c>
      <c r="AD16" s="209">
        <f t="shared" ca="1" si="6"/>
        <v>25</v>
      </c>
      <c r="AE16" s="209">
        <f t="shared" ca="1" si="6"/>
        <v>0</v>
      </c>
      <c r="AF16" s="209">
        <f t="shared" ca="1" si="6"/>
        <v>0</v>
      </c>
      <c r="AG16" s="209">
        <f ca="1">SUM(AG27:AG29)</f>
        <v>0</v>
      </c>
      <c r="AH16" s="209">
        <f t="shared" ca="1" si="6"/>
        <v>25</v>
      </c>
      <c r="AI16" s="209">
        <f t="shared" ca="1" si="6"/>
        <v>25</v>
      </c>
      <c r="AJ16" s="209">
        <f t="shared" ca="1" si="6"/>
        <v>25</v>
      </c>
      <c r="AK16" s="209">
        <f t="shared" ca="1" si="6"/>
        <v>0</v>
      </c>
      <c r="AL16" s="209">
        <f t="shared" ca="1" si="6"/>
        <v>0</v>
      </c>
      <c r="AM16" s="209">
        <f t="shared" ca="1" si="6"/>
        <v>0</v>
      </c>
      <c r="AN16" s="209">
        <f t="shared" ca="1" si="6"/>
        <v>25</v>
      </c>
      <c r="AO16" s="209">
        <f t="shared" ca="1" si="6"/>
        <v>25</v>
      </c>
      <c r="AP16" s="209">
        <f t="shared" ca="1" si="6"/>
        <v>25</v>
      </c>
      <c r="AQ16" s="209">
        <f t="shared" ca="1" si="6"/>
        <v>0</v>
      </c>
      <c r="AR16" s="209">
        <f t="shared" ca="1" si="6"/>
        <v>0</v>
      </c>
      <c r="AS16" s="209">
        <f t="shared" ca="1" si="6"/>
        <v>0</v>
      </c>
      <c r="AT16" s="209">
        <f t="shared" ca="1" si="6"/>
        <v>25</v>
      </c>
      <c r="AU16" s="209">
        <f t="shared" ca="1" si="6"/>
        <v>25</v>
      </c>
      <c r="AV16" s="209">
        <f t="shared" ca="1" si="6"/>
        <v>25</v>
      </c>
      <c r="AW16" s="209">
        <f t="shared" ca="1" si="6"/>
        <v>0</v>
      </c>
      <c r="AX16" s="209">
        <f t="shared" ca="1" si="6"/>
        <v>0</v>
      </c>
      <c r="AY16" s="209">
        <f t="shared" ca="1" si="6"/>
        <v>0</v>
      </c>
      <c r="AZ16" s="209">
        <f t="shared" ca="1" si="6"/>
        <v>25</v>
      </c>
      <c r="BA16" s="209">
        <f t="shared" ca="1" si="6"/>
        <v>25</v>
      </c>
      <c r="BB16" s="209">
        <f t="shared" ca="1" si="6"/>
        <v>25</v>
      </c>
      <c r="BC16" s="209">
        <f t="shared" ca="1" si="6"/>
        <v>0</v>
      </c>
      <c r="BD16" s="209">
        <f t="shared" ca="1" si="6"/>
        <v>0</v>
      </c>
      <c r="BE16" s="209">
        <f t="shared" ca="1" si="6"/>
        <v>0</v>
      </c>
      <c r="BF16" s="209">
        <f t="shared" ca="1" si="6"/>
        <v>0</v>
      </c>
      <c r="BG16" s="209">
        <f t="shared" ca="1" si="6"/>
        <v>0</v>
      </c>
    </row>
    <row r="17" spans="1:59">
      <c r="A17" s="342" t="s">
        <v>566</v>
      </c>
      <c r="B17" s="340"/>
      <c r="C17" s="341"/>
      <c r="D17" s="341"/>
      <c r="E17" s="341"/>
      <c r="F17" s="341"/>
      <c r="G17" s="340"/>
      <c r="H17" s="209">
        <f ca="1">SUM(H33:H34)</f>
        <v>0</v>
      </c>
      <c r="I17" s="209">
        <f ca="1">SUM(I33:I34)</f>
        <v>1</v>
      </c>
      <c r="J17" s="209">
        <f t="shared" ref="J17:BG17" ca="1" si="7">SUM(J33:J34)</f>
        <v>1</v>
      </c>
      <c r="K17" s="209">
        <f t="shared" ca="1" si="7"/>
        <v>1</v>
      </c>
      <c r="L17" s="209">
        <f t="shared" ca="1" si="7"/>
        <v>1</v>
      </c>
      <c r="M17" s="209">
        <f t="shared" ca="1" si="7"/>
        <v>1</v>
      </c>
      <c r="N17" s="209">
        <f t="shared" ca="1" si="7"/>
        <v>1</v>
      </c>
      <c r="O17" s="209">
        <f t="shared" ca="1" si="7"/>
        <v>1</v>
      </c>
      <c r="P17" s="209">
        <f t="shared" ca="1" si="7"/>
        <v>1</v>
      </c>
      <c r="Q17" s="209">
        <f t="shared" ca="1" si="7"/>
        <v>1</v>
      </c>
      <c r="R17" s="209">
        <f t="shared" ca="1" si="7"/>
        <v>1</v>
      </c>
      <c r="S17" s="209">
        <f t="shared" ca="1" si="7"/>
        <v>0</v>
      </c>
      <c r="T17" s="209">
        <f t="shared" ca="1" si="7"/>
        <v>0</v>
      </c>
      <c r="U17" s="209">
        <f t="shared" ca="1" si="7"/>
        <v>0</v>
      </c>
      <c r="V17" s="209">
        <f t="shared" ca="1" si="7"/>
        <v>0</v>
      </c>
      <c r="W17" s="209">
        <f t="shared" ca="1" si="7"/>
        <v>0</v>
      </c>
      <c r="X17" s="209">
        <f t="shared" ca="1" si="7"/>
        <v>0</v>
      </c>
      <c r="Y17" s="209">
        <f t="shared" ca="1" si="7"/>
        <v>0</v>
      </c>
      <c r="Z17" s="209">
        <f t="shared" ca="1" si="7"/>
        <v>0</v>
      </c>
      <c r="AA17" s="209">
        <f t="shared" ca="1" si="7"/>
        <v>0</v>
      </c>
      <c r="AB17" s="209">
        <f t="shared" ca="1" si="7"/>
        <v>0</v>
      </c>
      <c r="AC17" s="209">
        <f t="shared" ca="1" si="7"/>
        <v>0</v>
      </c>
      <c r="AD17" s="209">
        <f t="shared" ca="1" si="7"/>
        <v>0</v>
      </c>
      <c r="AE17" s="209">
        <f t="shared" ca="1" si="7"/>
        <v>0</v>
      </c>
      <c r="AF17" s="209">
        <f t="shared" ca="1" si="7"/>
        <v>0</v>
      </c>
      <c r="AG17" s="209">
        <f t="shared" ca="1" si="7"/>
        <v>0</v>
      </c>
      <c r="AH17" s="209">
        <f t="shared" ca="1" si="7"/>
        <v>0</v>
      </c>
      <c r="AI17" s="209">
        <f t="shared" ca="1" si="7"/>
        <v>0</v>
      </c>
      <c r="AJ17" s="209">
        <f t="shared" ca="1" si="7"/>
        <v>0</v>
      </c>
      <c r="AK17" s="209">
        <f t="shared" ca="1" si="7"/>
        <v>0</v>
      </c>
      <c r="AL17" s="209">
        <f t="shared" ca="1" si="7"/>
        <v>0</v>
      </c>
      <c r="AM17" s="209">
        <f t="shared" ca="1" si="7"/>
        <v>0</v>
      </c>
      <c r="AN17" s="209">
        <f t="shared" ca="1" si="7"/>
        <v>0</v>
      </c>
      <c r="AO17" s="209">
        <f t="shared" ca="1" si="7"/>
        <v>0</v>
      </c>
      <c r="AP17" s="209">
        <f t="shared" ca="1" si="7"/>
        <v>0</v>
      </c>
      <c r="AQ17" s="209">
        <f t="shared" ca="1" si="7"/>
        <v>0</v>
      </c>
      <c r="AR17" s="209">
        <f t="shared" ca="1" si="7"/>
        <v>0</v>
      </c>
      <c r="AS17" s="209">
        <f t="shared" ca="1" si="7"/>
        <v>0</v>
      </c>
      <c r="AT17" s="209">
        <f t="shared" ca="1" si="7"/>
        <v>0</v>
      </c>
      <c r="AU17" s="209">
        <f t="shared" ca="1" si="7"/>
        <v>0</v>
      </c>
      <c r="AV17" s="209">
        <f t="shared" ca="1" si="7"/>
        <v>0</v>
      </c>
      <c r="AW17" s="209">
        <f t="shared" ca="1" si="7"/>
        <v>0</v>
      </c>
      <c r="AX17" s="209">
        <f t="shared" ca="1" si="7"/>
        <v>0</v>
      </c>
      <c r="AY17" s="209">
        <f t="shared" ca="1" si="7"/>
        <v>0</v>
      </c>
      <c r="AZ17" s="209">
        <f t="shared" ca="1" si="7"/>
        <v>0</v>
      </c>
      <c r="BA17" s="209">
        <f t="shared" ca="1" si="7"/>
        <v>0</v>
      </c>
      <c r="BB17" s="209">
        <f t="shared" ca="1" si="7"/>
        <v>0</v>
      </c>
      <c r="BC17" s="209">
        <f t="shared" ca="1" si="7"/>
        <v>0</v>
      </c>
      <c r="BD17" s="209">
        <f t="shared" ca="1" si="7"/>
        <v>0</v>
      </c>
      <c r="BE17" s="209">
        <f t="shared" ca="1" si="7"/>
        <v>0</v>
      </c>
      <c r="BF17" s="209">
        <f t="shared" ca="1" si="7"/>
        <v>0</v>
      </c>
      <c r="BG17" s="209">
        <f t="shared" ca="1" si="7"/>
        <v>0</v>
      </c>
    </row>
    <row r="18" spans="1:59" hidden="1">
      <c r="A18" s="9"/>
      <c r="B18" s="9" t="s">
        <v>236</v>
      </c>
      <c r="C18" s="9">
        <v>84</v>
      </c>
      <c r="D18" s="9">
        <v>56</v>
      </c>
      <c r="E18" s="9">
        <v>28</v>
      </c>
      <c r="F18" s="9">
        <v>1</v>
      </c>
      <c r="G18" s="9" t="s">
        <v>239</v>
      </c>
      <c r="H18" s="182"/>
      <c r="I18" s="182"/>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row>
    <row r="19" spans="1:59" hidden="1">
      <c r="A19" s="183" t="s">
        <v>448</v>
      </c>
      <c r="B19" s="283">
        <f ca="1">SUM(H19:BG19)</f>
        <v>136</v>
      </c>
      <c r="C19" s="283">
        <f ca="1">COUNTIFS($H19:$BG19,"&lt;="&amp;C$18,$H19:$BG19,"&gt;"&amp;D$18)</f>
        <v>2</v>
      </c>
      <c r="D19" s="283">
        <f t="shared" ref="D19:F19" ca="1" si="8">COUNTIFS($H19:$BG19,"&lt;="&amp;D$18,$H19:$BG19,"&gt;"&amp;E$18)</f>
        <v>0</v>
      </c>
      <c r="E19" s="283">
        <f t="shared" ca="1" si="8"/>
        <v>0</v>
      </c>
      <c r="F19" s="283">
        <f t="shared" ca="1" si="8"/>
        <v>0</v>
      </c>
      <c r="G19" s="283">
        <f ca="1">SUM(H19:BG19)</f>
        <v>136</v>
      </c>
      <c r="H19" s="209">
        <f ca="1">(SUM(H56,H57)*MIN($J$5,$C$55))+(SUM(H67,H68)*$C$66)</f>
        <v>68</v>
      </c>
      <c r="I19" s="209">
        <f t="shared" ref="I19:BG19" ca="1" si="9">(SUM(I56,I57)*MIN($J$5,$C$55))+(SUM(I67,I68)*$C$66)</f>
        <v>0</v>
      </c>
      <c r="J19" s="209">
        <f t="shared" ca="1" si="9"/>
        <v>0</v>
      </c>
      <c r="K19" s="209">
        <f t="shared" ca="1" si="9"/>
        <v>0</v>
      </c>
      <c r="L19" s="209">
        <f t="shared" ca="1" si="9"/>
        <v>0</v>
      </c>
      <c r="M19" s="209">
        <f t="shared" ca="1" si="9"/>
        <v>0</v>
      </c>
      <c r="N19" s="209">
        <f t="shared" ca="1" si="9"/>
        <v>0</v>
      </c>
      <c r="O19" s="209">
        <f t="shared" ca="1" si="9"/>
        <v>0</v>
      </c>
      <c r="P19" s="209">
        <f t="shared" ca="1" si="9"/>
        <v>0</v>
      </c>
      <c r="Q19" s="209">
        <f t="shared" ca="1" si="9"/>
        <v>0</v>
      </c>
      <c r="R19" s="209">
        <f t="shared" ca="1" si="9"/>
        <v>0</v>
      </c>
      <c r="S19" s="209">
        <f t="shared" ca="1" si="9"/>
        <v>68</v>
      </c>
      <c r="T19" s="209">
        <f t="shared" ca="1" si="9"/>
        <v>0</v>
      </c>
      <c r="U19" s="209">
        <f t="shared" ca="1" si="9"/>
        <v>0</v>
      </c>
      <c r="V19" s="209">
        <f t="shared" ca="1" si="9"/>
        <v>0</v>
      </c>
      <c r="W19" s="209">
        <f t="shared" ca="1" si="9"/>
        <v>0</v>
      </c>
      <c r="X19" s="209">
        <f t="shared" ca="1" si="9"/>
        <v>0</v>
      </c>
      <c r="Y19" s="209">
        <f t="shared" ca="1" si="9"/>
        <v>0</v>
      </c>
      <c r="Z19" s="209">
        <f t="shared" ca="1" si="9"/>
        <v>0</v>
      </c>
      <c r="AA19" s="209">
        <f t="shared" ca="1" si="9"/>
        <v>0</v>
      </c>
      <c r="AB19" s="209">
        <f t="shared" ca="1" si="9"/>
        <v>0</v>
      </c>
      <c r="AC19" s="209">
        <f t="shared" ca="1" si="9"/>
        <v>0</v>
      </c>
      <c r="AD19" s="209">
        <f t="shared" ca="1" si="9"/>
        <v>0</v>
      </c>
      <c r="AE19" s="209">
        <f t="shared" ca="1" si="9"/>
        <v>0</v>
      </c>
      <c r="AF19" s="209">
        <f ca="1">(SUM(AF56,AF57)*MIN($J$5,$C$55))+(SUM(AF67,AF68)*$C$66)</f>
        <v>0</v>
      </c>
      <c r="AG19" s="209">
        <f t="shared" ca="1" si="9"/>
        <v>0</v>
      </c>
      <c r="AH19" s="209">
        <f t="shared" ca="1" si="9"/>
        <v>0</v>
      </c>
      <c r="AI19" s="209">
        <f t="shared" ca="1" si="9"/>
        <v>0</v>
      </c>
      <c r="AJ19" s="209">
        <f t="shared" ca="1" si="9"/>
        <v>0</v>
      </c>
      <c r="AK19" s="209">
        <f t="shared" ca="1" si="9"/>
        <v>0</v>
      </c>
      <c r="AL19" s="209">
        <f t="shared" ca="1" si="9"/>
        <v>0</v>
      </c>
      <c r="AM19" s="209">
        <f t="shared" ca="1" si="9"/>
        <v>0</v>
      </c>
      <c r="AN19" s="209">
        <f t="shared" ca="1" si="9"/>
        <v>0</v>
      </c>
      <c r="AO19" s="209">
        <f t="shared" ca="1" si="9"/>
        <v>0</v>
      </c>
      <c r="AP19" s="209">
        <f t="shared" ca="1" si="9"/>
        <v>0</v>
      </c>
      <c r="AQ19" s="209">
        <f t="shared" ca="1" si="9"/>
        <v>0</v>
      </c>
      <c r="AR19" s="209">
        <f t="shared" ca="1" si="9"/>
        <v>0</v>
      </c>
      <c r="AS19" s="209">
        <f t="shared" ca="1" si="9"/>
        <v>0</v>
      </c>
      <c r="AT19" s="209">
        <f t="shared" ca="1" si="9"/>
        <v>0</v>
      </c>
      <c r="AU19" s="209">
        <f t="shared" ca="1" si="9"/>
        <v>0</v>
      </c>
      <c r="AV19" s="209">
        <f t="shared" ca="1" si="9"/>
        <v>0</v>
      </c>
      <c r="AW19" s="209">
        <f t="shared" ca="1" si="9"/>
        <v>0</v>
      </c>
      <c r="AX19" s="209">
        <f t="shared" ca="1" si="9"/>
        <v>0</v>
      </c>
      <c r="AY19" s="209">
        <f t="shared" ca="1" si="9"/>
        <v>0</v>
      </c>
      <c r="AZ19" s="209">
        <f t="shared" ca="1" si="9"/>
        <v>0</v>
      </c>
      <c r="BA19" s="209">
        <f t="shared" ca="1" si="9"/>
        <v>0</v>
      </c>
      <c r="BB19" s="209">
        <f t="shared" ca="1" si="9"/>
        <v>0</v>
      </c>
      <c r="BC19" s="209">
        <f t="shared" ca="1" si="9"/>
        <v>0</v>
      </c>
      <c r="BD19" s="209">
        <f t="shared" ca="1" si="9"/>
        <v>0</v>
      </c>
      <c r="BE19" s="209">
        <f t="shared" ca="1" si="9"/>
        <v>0</v>
      </c>
      <c r="BF19" s="209">
        <f t="shared" ca="1" si="9"/>
        <v>0</v>
      </c>
      <c r="BG19" s="209">
        <f t="shared" ca="1" si="9"/>
        <v>0</v>
      </c>
    </row>
    <row r="20" spans="1:59" hidden="1">
      <c r="A20" s="183" t="s">
        <v>530</v>
      </c>
      <c r="B20" s="283"/>
      <c r="C20" s="283">
        <f t="shared" ref="C20:D20" ca="1" si="10">COUNTIFS($H20:$BG20,"&lt;="&amp;C$18,$H20:$BG20,"&gt;="&amp;D$18)</f>
        <v>0</v>
      </c>
      <c r="D20" s="283">
        <f t="shared" ca="1" si="10"/>
        <v>0</v>
      </c>
      <c r="E20" s="283">
        <f ca="1">COUNTIFS($H20:$BG20,"&lt;="&amp;E$18,$H20:$BG20,"&gt;="&amp;F$18)</f>
        <v>0</v>
      </c>
      <c r="F20" s="283">
        <f ca="1">COUNTIFS($H20:$BG20,"&lt;="&amp;F$18,$H20:$BG20,"&gt;="&amp;G$18)</f>
        <v>0</v>
      </c>
      <c r="G20" s="283"/>
      <c r="H20" s="209">
        <f ca="1">SUM(I22*I60,G22*H61)</f>
        <v>0</v>
      </c>
      <c r="I20" s="209">
        <f t="shared" ref="I20:AM20" ca="1" si="11">SUM(J22*J60,H22*I61)</f>
        <v>0</v>
      </c>
      <c r="J20" s="209">
        <f t="shared" ca="1" si="11"/>
        <v>0</v>
      </c>
      <c r="K20" s="209">
        <f t="shared" ca="1" si="11"/>
        <v>0</v>
      </c>
      <c r="L20" s="209">
        <f t="shared" ca="1" si="11"/>
        <v>0</v>
      </c>
      <c r="M20" s="209">
        <f t="shared" ca="1" si="11"/>
        <v>0</v>
      </c>
      <c r="N20" s="209">
        <f t="shared" ca="1" si="11"/>
        <v>0</v>
      </c>
      <c r="O20" s="209">
        <f t="shared" ca="1" si="11"/>
        <v>0</v>
      </c>
      <c r="P20" s="209">
        <f t="shared" ca="1" si="11"/>
        <v>0</v>
      </c>
      <c r="Q20" s="209">
        <f t="shared" ca="1" si="11"/>
        <v>0</v>
      </c>
      <c r="R20" s="209">
        <f t="shared" ca="1" si="11"/>
        <v>0</v>
      </c>
      <c r="S20" s="209">
        <f t="shared" ca="1" si="11"/>
        <v>0</v>
      </c>
      <c r="T20" s="209">
        <f t="shared" ca="1" si="11"/>
        <v>0</v>
      </c>
      <c r="U20" s="209">
        <f t="shared" ca="1" si="11"/>
        <v>0</v>
      </c>
      <c r="V20" s="209">
        <f t="shared" ca="1" si="11"/>
        <v>0</v>
      </c>
      <c r="W20" s="209">
        <f t="shared" ca="1" si="11"/>
        <v>0</v>
      </c>
      <c r="X20" s="209">
        <f t="shared" ca="1" si="11"/>
        <v>0</v>
      </c>
      <c r="Y20" s="209">
        <f t="shared" ca="1" si="11"/>
        <v>0</v>
      </c>
      <c r="Z20" s="209">
        <f t="shared" ca="1" si="11"/>
        <v>0</v>
      </c>
      <c r="AA20" s="209">
        <f t="shared" ca="1" si="11"/>
        <v>0</v>
      </c>
      <c r="AB20" s="209">
        <f t="shared" ca="1" si="11"/>
        <v>0</v>
      </c>
      <c r="AC20" s="209">
        <f t="shared" ca="1" si="11"/>
        <v>0</v>
      </c>
      <c r="AD20" s="209">
        <f t="shared" ca="1" si="11"/>
        <v>0</v>
      </c>
      <c r="AE20" s="209">
        <f t="shared" ca="1" si="11"/>
        <v>0</v>
      </c>
      <c r="AF20" s="209">
        <f t="shared" ca="1" si="11"/>
        <v>0</v>
      </c>
      <c r="AG20" s="209">
        <f t="shared" ca="1" si="11"/>
        <v>0</v>
      </c>
      <c r="AH20" s="209">
        <f t="shared" ca="1" si="11"/>
        <v>0</v>
      </c>
      <c r="AI20" s="209">
        <f t="shared" ca="1" si="11"/>
        <v>0</v>
      </c>
      <c r="AJ20" s="209">
        <f t="shared" ca="1" si="11"/>
        <v>0</v>
      </c>
      <c r="AK20" s="209">
        <f t="shared" ca="1" si="11"/>
        <v>0</v>
      </c>
      <c r="AL20" s="209">
        <f t="shared" ca="1" si="11"/>
        <v>0</v>
      </c>
      <c r="AM20" s="209">
        <f t="shared" ca="1" si="11"/>
        <v>0</v>
      </c>
      <c r="AN20" s="209">
        <f t="shared" ref="AN20:BG20" ca="1" si="12">SUM(AO22*AO60,AM22*AN61)</f>
        <v>0</v>
      </c>
      <c r="AO20" s="209">
        <f t="shared" ca="1" si="12"/>
        <v>0</v>
      </c>
      <c r="AP20" s="209">
        <f t="shared" ca="1" si="12"/>
        <v>0</v>
      </c>
      <c r="AQ20" s="209">
        <f t="shared" ca="1" si="12"/>
        <v>0</v>
      </c>
      <c r="AR20" s="209">
        <f t="shared" ca="1" si="12"/>
        <v>0</v>
      </c>
      <c r="AS20" s="209">
        <f t="shared" ca="1" si="12"/>
        <v>0</v>
      </c>
      <c r="AT20" s="209">
        <f t="shared" ca="1" si="12"/>
        <v>0</v>
      </c>
      <c r="AU20" s="209">
        <f t="shared" ca="1" si="12"/>
        <v>0</v>
      </c>
      <c r="AV20" s="209">
        <f t="shared" ca="1" si="12"/>
        <v>0</v>
      </c>
      <c r="AW20" s="209">
        <f t="shared" ca="1" si="12"/>
        <v>0</v>
      </c>
      <c r="AX20" s="209">
        <f t="shared" ca="1" si="12"/>
        <v>0</v>
      </c>
      <c r="AY20" s="209">
        <f t="shared" ca="1" si="12"/>
        <v>0</v>
      </c>
      <c r="AZ20" s="209">
        <f t="shared" ca="1" si="12"/>
        <v>0</v>
      </c>
      <c r="BA20" s="209">
        <f t="shared" ca="1" si="12"/>
        <v>0</v>
      </c>
      <c r="BB20" s="209">
        <f t="shared" ca="1" si="12"/>
        <v>0</v>
      </c>
      <c r="BC20" s="209">
        <f t="shared" ca="1" si="12"/>
        <v>0</v>
      </c>
      <c r="BD20" s="209">
        <f t="shared" ca="1" si="12"/>
        <v>0</v>
      </c>
      <c r="BE20" s="209">
        <f t="shared" ca="1" si="12"/>
        <v>0</v>
      </c>
      <c r="BF20" s="209">
        <f t="shared" ca="1" si="12"/>
        <v>0</v>
      </c>
      <c r="BG20" s="209">
        <f t="shared" ca="1" si="12"/>
        <v>0</v>
      </c>
    </row>
    <row r="21" spans="1:59" hidden="1">
      <c r="A21" s="184" t="s">
        <v>451</v>
      </c>
      <c r="B21" s="187">
        <f t="shared" ref="B21" ca="1" si="13">SUM(H21:BG21)</f>
        <v>680</v>
      </c>
      <c r="C21" s="187"/>
      <c r="D21" s="187"/>
      <c r="E21" s="187"/>
      <c r="F21" s="187"/>
      <c r="G21" s="187">
        <f ca="1">SUM(H21:BG21)</f>
        <v>680</v>
      </c>
      <c r="H21" s="209">
        <f t="shared" ref="H21:AM21" ca="1" si="14">H62*$J$5</f>
        <v>0</v>
      </c>
      <c r="I21" s="209">
        <f ca="1">I62*MIN($J$5,$C$55)</f>
        <v>68</v>
      </c>
      <c r="J21" s="209">
        <f t="shared" ref="J21:BG21" ca="1" si="15">J62*MIN($J$5,$C$55)</f>
        <v>68</v>
      </c>
      <c r="K21" s="209">
        <f t="shared" ca="1" si="15"/>
        <v>68</v>
      </c>
      <c r="L21" s="209">
        <f t="shared" ca="1" si="15"/>
        <v>68</v>
      </c>
      <c r="M21" s="209">
        <f t="shared" ca="1" si="15"/>
        <v>68</v>
      </c>
      <c r="N21" s="209">
        <f t="shared" ca="1" si="15"/>
        <v>68</v>
      </c>
      <c r="O21" s="209">
        <f t="shared" ca="1" si="15"/>
        <v>68</v>
      </c>
      <c r="P21" s="209">
        <f t="shared" ca="1" si="15"/>
        <v>68</v>
      </c>
      <c r="Q21" s="209">
        <f t="shared" ca="1" si="15"/>
        <v>68</v>
      </c>
      <c r="R21" s="209">
        <f t="shared" ca="1" si="15"/>
        <v>68</v>
      </c>
      <c r="S21" s="209">
        <f t="shared" ca="1" si="15"/>
        <v>0</v>
      </c>
      <c r="T21" s="209">
        <f t="shared" ca="1" si="15"/>
        <v>0</v>
      </c>
      <c r="U21" s="209">
        <f t="shared" ca="1" si="15"/>
        <v>0</v>
      </c>
      <c r="V21" s="209">
        <f t="shared" ca="1" si="15"/>
        <v>0</v>
      </c>
      <c r="W21" s="209">
        <f t="shared" ca="1" si="15"/>
        <v>0</v>
      </c>
      <c r="X21" s="209">
        <f t="shared" ca="1" si="15"/>
        <v>0</v>
      </c>
      <c r="Y21" s="209">
        <f t="shared" ca="1" si="15"/>
        <v>0</v>
      </c>
      <c r="Z21" s="209">
        <f t="shared" ca="1" si="15"/>
        <v>0</v>
      </c>
      <c r="AA21" s="209">
        <f t="shared" ca="1" si="15"/>
        <v>0</v>
      </c>
      <c r="AB21" s="209">
        <f t="shared" ca="1" si="15"/>
        <v>0</v>
      </c>
      <c r="AC21" s="209">
        <f t="shared" ca="1" si="15"/>
        <v>0</v>
      </c>
      <c r="AD21" s="209">
        <f t="shared" ca="1" si="15"/>
        <v>0</v>
      </c>
      <c r="AE21" s="209">
        <f t="shared" ca="1" si="15"/>
        <v>0</v>
      </c>
      <c r="AF21" s="209">
        <f t="shared" ca="1" si="15"/>
        <v>0</v>
      </c>
      <c r="AG21" s="209">
        <f t="shared" ca="1" si="15"/>
        <v>0</v>
      </c>
      <c r="AH21" s="209">
        <f t="shared" ca="1" si="15"/>
        <v>0</v>
      </c>
      <c r="AI21" s="209">
        <f t="shared" ca="1" si="15"/>
        <v>0</v>
      </c>
      <c r="AJ21" s="209">
        <f t="shared" ca="1" si="15"/>
        <v>0</v>
      </c>
      <c r="AK21" s="209">
        <f t="shared" ca="1" si="15"/>
        <v>0</v>
      </c>
      <c r="AL21" s="209">
        <f t="shared" ca="1" si="15"/>
        <v>0</v>
      </c>
      <c r="AM21" s="209">
        <f t="shared" ca="1" si="15"/>
        <v>0</v>
      </c>
      <c r="AN21" s="209">
        <f t="shared" ca="1" si="15"/>
        <v>0</v>
      </c>
      <c r="AO21" s="209">
        <f t="shared" ca="1" si="15"/>
        <v>0</v>
      </c>
      <c r="AP21" s="209">
        <f t="shared" ca="1" si="15"/>
        <v>0</v>
      </c>
      <c r="AQ21" s="209">
        <f t="shared" ca="1" si="15"/>
        <v>0</v>
      </c>
      <c r="AR21" s="209">
        <f t="shared" ca="1" si="15"/>
        <v>0</v>
      </c>
      <c r="AS21" s="209">
        <f t="shared" ca="1" si="15"/>
        <v>0</v>
      </c>
      <c r="AT21" s="209">
        <f t="shared" ca="1" si="15"/>
        <v>0</v>
      </c>
      <c r="AU21" s="209">
        <f t="shared" ca="1" si="15"/>
        <v>0</v>
      </c>
      <c r="AV21" s="209">
        <f t="shared" ca="1" si="15"/>
        <v>0</v>
      </c>
      <c r="AW21" s="209">
        <f t="shared" ca="1" si="15"/>
        <v>0</v>
      </c>
      <c r="AX21" s="209">
        <f t="shared" ca="1" si="15"/>
        <v>0</v>
      </c>
      <c r="AY21" s="209">
        <f t="shared" ca="1" si="15"/>
        <v>0</v>
      </c>
      <c r="AZ21" s="209">
        <f t="shared" ca="1" si="15"/>
        <v>0</v>
      </c>
      <c r="BA21" s="209">
        <f t="shared" ca="1" si="15"/>
        <v>0</v>
      </c>
      <c r="BB21" s="209">
        <f t="shared" ca="1" si="15"/>
        <v>0</v>
      </c>
      <c r="BC21" s="209">
        <f t="shared" ca="1" si="15"/>
        <v>0</v>
      </c>
      <c r="BD21" s="209">
        <f t="shared" ca="1" si="15"/>
        <v>0</v>
      </c>
      <c r="BE21" s="209">
        <f t="shared" ca="1" si="15"/>
        <v>0</v>
      </c>
      <c r="BF21" s="209">
        <f t="shared" ca="1" si="15"/>
        <v>0</v>
      </c>
      <c r="BG21" s="209">
        <f t="shared" ca="1" si="15"/>
        <v>0</v>
      </c>
    </row>
    <row r="22" spans="1:59" hidden="1">
      <c r="A22" s="184" t="s">
        <v>459</v>
      </c>
      <c r="B22" s="187">
        <f t="shared" ref="B22" ca="1" si="16">SUM(H22:BG22)</f>
        <v>0</v>
      </c>
      <c r="C22" s="187"/>
      <c r="D22" s="187"/>
      <c r="E22" s="187"/>
      <c r="F22" s="187"/>
      <c r="G22" s="187">
        <f ca="1">SUM(H22:BG22)</f>
        <v>0</v>
      </c>
      <c r="H22" s="209">
        <f ca="1">H62*$J$4</f>
        <v>0</v>
      </c>
      <c r="I22" s="209">
        <f ca="1">I62*$J$4</f>
        <v>0</v>
      </c>
      <c r="J22" s="209">
        <f t="shared" ref="J22:BG22" ca="1" si="17">J62*$J$4</f>
        <v>0</v>
      </c>
      <c r="K22" s="209">
        <f t="shared" ca="1" si="17"/>
        <v>0</v>
      </c>
      <c r="L22" s="209">
        <f t="shared" ca="1" si="17"/>
        <v>0</v>
      </c>
      <c r="M22" s="209">
        <f t="shared" ca="1" si="17"/>
        <v>0</v>
      </c>
      <c r="N22" s="209">
        <f t="shared" ca="1" si="17"/>
        <v>0</v>
      </c>
      <c r="O22" s="209">
        <f t="shared" ca="1" si="17"/>
        <v>0</v>
      </c>
      <c r="P22" s="209">
        <f t="shared" ca="1" si="17"/>
        <v>0</v>
      </c>
      <c r="Q22" s="209">
        <f t="shared" ca="1" si="17"/>
        <v>0</v>
      </c>
      <c r="R22" s="209">
        <f t="shared" ca="1" si="17"/>
        <v>0</v>
      </c>
      <c r="S22" s="209">
        <f t="shared" ca="1" si="17"/>
        <v>0</v>
      </c>
      <c r="T22" s="209">
        <f t="shared" ca="1" si="17"/>
        <v>0</v>
      </c>
      <c r="U22" s="209">
        <f t="shared" ca="1" si="17"/>
        <v>0</v>
      </c>
      <c r="V22" s="209">
        <f t="shared" ca="1" si="17"/>
        <v>0</v>
      </c>
      <c r="W22" s="209">
        <f t="shared" ca="1" si="17"/>
        <v>0</v>
      </c>
      <c r="X22" s="209">
        <f t="shared" ca="1" si="17"/>
        <v>0</v>
      </c>
      <c r="Y22" s="209">
        <f t="shared" ca="1" si="17"/>
        <v>0</v>
      </c>
      <c r="Z22" s="209">
        <f t="shared" ca="1" si="17"/>
        <v>0</v>
      </c>
      <c r="AA22" s="209">
        <f t="shared" ca="1" si="17"/>
        <v>0</v>
      </c>
      <c r="AB22" s="209">
        <f t="shared" ca="1" si="17"/>
        <v>0</v>
      </c>
      <c r="AC22" s="209">
        <f t="shared" ca="1" si="17"/>
        <v>0</v>
      </c>
      <c r="AD22" s="209">
        <f t="shared" ca="1" si="17"/>
        <v>0</v>
      </c>
      <c r="AE22" s="209">
        <f t="shared" ca="1" si="17"/>
        <v>0</v>
      </c>
      <c r="AF22" s="209">
        <f t="shared" ca="1" si="17"/>
        <v>0</v>
      </c>
      <c r="AG22" s="209">
        <f t="shared" ca="1" si="17"/>
        <v>0</v>
      </c>
      <c r="AH22" s="209">
        <f t="shared" ca="1" si="17"/>
        <v>0</v>
      </c>
      <c r="AI22" s="209">
        <f t="shared" ca="1" si="17"/>
        <v>0</v>
      </c>
      <c r="AJ22" s="209">
        <f t="shared" ca="1" si="17"/>
        <v>0</v>
      </c>
      <c r="AK22" s="209">
        <f t="shared" ca="1" si="17"/>
        <v>0</v>
      </c>
      <c r="AL22" s="209">
        <f t="shared" ca="1" si="17"/>
        <v>0</v>
      </c>
      <c r="AM22" s="209">
        <f t="shared" ca="1" si="17"/>
        <v>0</v>
      </c>
      <c r="AN22" s="209">
        <f t="shared" ca="1" si="17"/>
        <v>0</v>
      </c>
      <c r="AO22" s="209">
        <f t="shared" ca="1" si="17"/>
        <v>0</v>
      </c>
      <c r="AP22" s="209">
        <f t="shared" ca="1" si="17"/>
        <v>0</v>
      </c>
      <c r="AQ22" s="209">
        <f t="shared" ca="1" si="17"/>
        <v>0</v>
      </c>
      <c r="AR22" s="209">
        <f t="shared" ca="1" si="17"/>
        <v>0</v>
      </c>
      <c r="AS22" s="209">
        <f t="shared" ca="1" si="17"/>
        <v>0</v>
      </c>
      <c r="AT22" s="209">
        <f t="shared" ca="1" si="17"/>
        <v>0</v>
      </c>
      <c r="AU22" s="209">
        <f t="shared" ca="1" si="17"/>
        <v>0</v>
      </c>
      <c r="AV22" s="209">
        <f t="shared" ca="1" si="17"/>
        <v>0</v>
      </c>
      <c r="AW22" s="209">
        <f t="shared" ca="1" si="17"/>
        <v>0</v>
      </c>
      <c r="AX22" s="209">
        <f t="shared" ca="1" si="17"/>
        <v>0</v>
      </c>
      <c r="AY22" s="209">
        <f t="shared" ca="1" si="17"/>
        <v>0</v>
      </c>
      <c r="AZ22" s="209">
        <f t="shared" ca="1" si="17"/>
        <v>0</v>
      </c>
      <c r="BA22" s="209">
        <f t="shared" ca="1" si="17"/>
        <v>0</v>
      </c>
      <c r="BB22" s="209">
        <f t="shared" ca="1" si="17"/>
        <v>0</v>
      </c>
      <c r="BC22" s="209">
        <f t="shared" ca="1" si="17"/>
        <v>0</v>
      </c>
      <c r="BD22" s="209">
        <f t="shared" ca="1" si="17"/>
        <v>0</v>
      </c>
      <c r="BE22" s="209">
        <f t="shared" ca="1" si="17"/>
        <v>0</v>
      </c>
      <c r="BF22" s="209">
        <f t="shared" ca="1" si="17"/>
        <v>0</v>
      </c>
      <c r="BG22" s="209">
        <f t="shared" ca="1" si="17"/>
        <v>0</v>
      </c>
    </row>
    <row r="23" spans="1:59" hidden="1">
      <c r="A23" s="186" t="s">
        <v>452</v>
      </c>
      <c r="B23" s="188">
        <f t="shared" ref="B23:B25" ca="1" si="18">SUM(H23:BG23)</f>
        <v>0</v>
      </c>
      <c r="C23" s="188"/>
      <c r="D23" s="188"/>
      <c r="E23" s="188"/>
      <c r="F23" s="188"/>
      <c r="G23" s="302">
        <f ca="1">SUM(H23:BG23)</f>
        <v>0</v>
      </c>
      <c r="H23" s="209">
        <f ca="1">'Master Tab'!$C$24*H73</f>
        <v>0</v>
      </c>
      <c r="I23" s="209">
        <f ca="1">'Master Tab'!$C$24*I73</f>
        <v>0</v>
      </c>
      <c r="J23" s="209">
        <f ca="1">'Master Tab'!$C$24*J73</f>
        <v>0</v>
      </c>
      <c r="K23" s="209">
        <f ca="1">'Master Tab'!$C$24*K73</f>
        <v>0</v>
      </c>
      <c r="L23" s="209">
        <f ca="1">'Master Tab'!$C$24*L73</f>
        <v>0</v>
      </c>
      <c r="M23" s="209">
        <f ca="1">'Master Tab'!$C$24*M73</f>
        <v>0</v>
      </c>
      <c r="N23" s="209">
        <f ca="1">'Master Tab'!$C$24*N73</f>
        <v>0</v>
      </c>
      <c r="O23" s="209">
        <f ca="1">'Master Tab'!$C$24*O73</f>
        <v>0</v>
      </c>
      <c r="P23" s="209">
        <f ca="1">'Master Tab'!$C$24*P73</f>
        <v>0</v>
      </c>
      <c r="Q23" s="209">
        <f ca="1">'Master Tab'!$C$24*Q73</f>
        <v>0</v>
      </c>
      <c r="R23" s="209">
        <f ca="1">'Master Tab'!$C$24*R73</f>
        <v>0</v>
      </c>
      <c r="S23" s="209">
        <f ca="1">'Master Tab'!$C$24*S73</f>
        <v>0</v>
      </c>
      <c r="T23" s="209">
        <f ca="1">'Master Tab'!$C$24*T73</f>
        <v>0</v>
      </c>
      <c r="U23" s="209">
        <f ca="1">'Master Tab'!$C$24*U73</f>
        <v>0</v>
      </c>
      <c r="V23" s="209">
        <f ca="1">'Master Tab'!$C$24*V73</f>
        <v>0</v>
      </c>
      <c r="W23" s="209">
        <f ca="1">'Master Tab'!$C$24*W73</f>
        <v>0</v>
      </c>
      <c r="X23" s="209">
        <f ca="1">'Master Tab'!$C$24*X73</f>
        <v>0</v>
      </c>
      <c r="Y23" s="209">
        <f ca="1">'Master Tab'!$C$24*Y73</f>
        <v>0</v>
      </c>
      <c r="Z23" s="209">
        <f ca="1">'Master Tab'!$C$24*Z73</f>
        <v>0</v>
      </c>
      <c r="AA23" s="209">
        <f ca="1">'Master Tab'!$C$24*AA73</f>
        <v>0</v>
      </c>
      <c r="AB23" s="209">
        <f ca="1">'Master Tab'!$C$24*AB73</f>
        <v>0</v>
      </c>
      <c r="AC23" s="209">
        <f ca="1">'Master Tab'!$C$24*AC73</f>
        <v>0</v>
      </c>
      <c r="AD23" s="209">
        <f ca="1">'Master Tab'!$C$24*AD73</f>
        <v>0</v>
      </c>
      <c r="AE23" s="209">
        <f ca="1">'Master Tab'!$C$24*AE73</f>
        <v>0</v>
      </c>
      <c r="AF23" s="209">
        <f ca="1">'Master Tab'!$C$24*AF73</f>
        <v>0</v>
      </c>
      <c r="AG23" s="209">
        <f ca="1">'Master Tab'!$C$24*AG73</f>
        <v>0</v>
      </c>
      <c r="AH23" s="209">
        <f ca="1">'Master Tab'!$C$24*AH73</f>
        <v>0</v>
      </c>
      <c r="AI23" s="209">
        <f ca="1">'Master Tab'!$C$24*AI73</f>
        <v>0</v>
      </c>
      <c r="AJ23" s="209">
        <f ca="1">'Master Tab'!$C$24*AJ73</f>
        <v>0</v>
      </c>
      <c r="AK23" s="209">
        <f ca="1">'Master Tab'!$C$24*AK73</f>
        <v>0</v>
      </c>
      <c r="AL23" s="209">
        <f ca="1">'Master Tab'!$C$24*AL73</f>
        <v>0</v>
      </c>
      <c r="AM23" s="209">
        <f ca="1">'Master Tab'!$C$24*AM73</f>
        <v>0</v>
      </c>
      <c r="AN23" s="209">
        <f ca="1">'Master Tab'!$C$24*AN73</f>
        <v>0</v>
      </c>
      <c r="AO23" s="209">
        <f ca="1">'Master Tab'!$C$24*AO73</f>
        <v>0</v>
      </c>
      <c r="AP23" s="209">
        <f ca="1">'Master Tab'!$C$24*AP73</f>
        <v>0</v>
      </c>
      <c r="AQ23" s="209">
        <f ca="1">'Master Tab'!$C$24*AQ73</f>
        <v>0</v>
      </c>
      <c r="AR23" s="209">
        <f ca="1">'Master Tab'!$C$24*AR73</f>
        <v>0</v>
      </c>
      <c r="AS23" s="209">
        <f ca="1">'Master Tab'!$C$24*AS73</f>
        <v>0</v>
      </c>
      <c r="AT23" s="209">
        <f ca="1">'Master Tab'!$C$24*AT73</f>
        <v>0</v>
      </c>
      <c r="AU23" s="209">
        <f ca="1">'Master Tab'!$C$24*AU73</f>
        <v>0</v>
      </c>
      <c r="AV23" s="209">
        <f ca="1">'Master Tab'!$C$24*AV73</f>
        <v>0</v>
      </c>
      <c r="AW23" s="209">
        <f ca="1">'Master Tab'!$C$24*AW73</f>
        <v>0</v>
      </c>
      <c r="AX23" s="209">
        <f ca="1">'Master Tab'!$C$24*AX73</f>
        <v>0</v>
      </c>
      <c r="AY23" s="209">
        <f ca="1">'Master Tab'!$C$24*AY73</f>
        <v>0</v>
      </c>
      <c r="AZ23" s="209">
        <f ca="1">'Master Tab'!$C$24*AZ73</f>
        <v>0</v>
      </c>
      <c r="BA23" s="209">
        <f ca="1">'Master Tab'!$C$24*BA73</f>
        <v>0</v>
      </c>
      <c r="BB23" s="209">
        <f ca="1">'Master Tab'!$C$24*BB73</f>
        <v>0</v>
      </c>
      <c r="BC23" s="209">
        <f ca="1">'Master Tab'!$C$24*BC73</f>
        <v>0</v>
      </c>
      <c r="BD23" s="209">
        <f ca="1">'Master Tab'!$C$24*BD73</f>
        <v>0</v>
      </c>
      <c r="BE23" s="209">
        <f ca="1">'Master Tab'!$C$24*BE73</f>
        <v>0</v>
      </c>
      <c r="BF23" s="209">
        <f ca="1">'Master Tab'!$C$24*BF73</f>
        <v>0</v>
      </c>
      <c r="BG23" s="209">
        <f ca="1">'Master Tab'!$C$24*BG73</f>
        <v>0</v>
      </c>
    </row>
    <row r="24" spans="1:59" hidden="1">
      <c r="A24" s="264" t="s">
        <v>456</v>
      </c>
      <c r="B24" s="204">
        <f t="shared" ca="1" si="18"/>
        <v>68</v>
      </c>
      <c r="C24" s="204"/>
      <c r="D24" s="204"/>
      <c r="E24" s="204"/>
      <c r="F24" s="204"/>
      <c r="G24" s="204">
        <f t="shared" ref="G24:G25" ca="1" si="19">SUM(H24:BG24)</f>
        <v>68</v>
      </c>
      <c r="H24" s="209">
        <f t="shared" ref="H24:AM24" ca="1" si="20">H36*G19</f>
        <v>0</v>
      </c>
      <c r="I24" s="209">
        <f t="shared" ca="1" si="20"/>
        <v>0</v>
      </c>
      <c r="J24" s="209">
        <f t="shared" ca="1" si="20"/>
        <v>0</v>
      </c>
      <c r="K24" s="209">
        <f t="shared" ca="1" si="20"/>
        <v>0</v>
      </c>
      <c r="L24" s="209">
        <f t="shared" ca="1" si="20"/>
        <v>0</v>
      </c>
      <c r="M24" s="209">
        <f t="shared" ca="1" si="20"/>
        <v>0</v>
      </c>
      <c r="N24" s="209">
        <f t="shared" ca="1" si="20"/>
        <v>0</v>
      </c>
      <c r="O24" s="209">
        <f t="shared" ca="1" si="20"/>
        <v>0</v>
      </c>
      <c r="P24" s="209">
        <f t="shared" ca="1" si="20"/>
        <v>0</v>
      </c>
      <c r="Q24" s="209">
        <f t="shared" ca="1" si="20"/>
        <v>0</v>
      </c>
      <c r="R24" s="209">
        <f t="shared" ca="1" si="20"/>
        <v>0</v>
      </c>
      <c r="S24" s="209">
        <f t="shared" ca="1" si="20"/>
        <v>0</v>
      </c>
      <c r="T24" s="209">
        <f t="shared" ca="1" si="20"/>
        <v>68</v>
      </c>
      <c r="U24" s="209">
        <f t="shared" ca="1" si="20"/>
        <v>0</v>
      </c>
      <c r="V24" s="209">
        <f t="shared" ca="1" si="20"/>
        <v>0</v>
      </c>
      <c r="W24" s="209">
        <f t="shared" ca="1" si="20"/>
        <v>0</v>
      </c>
      <c r="X24" s="209">
        <f t="shared" ca="1" si="20"/>
        <v>0</v>
      </c>
      <c r="Y24" s="209">
        <f t="shared" ca="1" si="20"/>
        <v>0</v>
      </c>
      <c r="Z24" s="209">
        <f t="shared" ca="1" si="20"/>
        <v>0</v>
      </c>
      <c r="AA24" s="209">
        <f t="shared" ca="1" si="20"/>
        <v>0</v>
      </c>
      <c r="AB24" s="209">
        <f t="shared" ca="1" si="20"/>
        <v>0</v>
      </c>
      <c r="AC24" s="209">
        <f t="shared" ca="1" si="20"/>
        <v>0</v>
      </c>
      <c r="AD24" s="209">
        <f t="shared" ca="1" si="20"/>
        <v>0</v>
      </c>
      <c r="AE24" s="209">
        <f t="shared" ca="1" si="20"/>
        <v>0</v>
      </c>
      <c r="AF24" s="209">
        <f t="shared" ca="1" si="20"/>
        <v>0</v>
      </c>
      <c r="AG24" s="209">
        <f t="shared" ca="1" si="20"/>
        <v>0</v>
      </c>
      <c r="AH24" s="209">
        <f t="shared" ca="1" si="20"/>
        <v>0</v>
      </c>
      <c r="AI24" s="209">
        <f t="shared" ca="1" si="20"/>
        <v>0</v>
      </c>
      <c r="AJ24" s="209">
        <f t="shared" ca="1" si="20"/>
        <v>0</v>
      </c>
      <c r="AK24" s="209">
        <f t="shared" ca="1" si="20"/>
        <v>0</v>
      </c>
      <c r="AL24" s="209">
        <f t="shared" ca="1" si="20"/>
        <v>0</v>
      </c>
      <c r="AM24" s="209">
        <f t="shared" ca="1" si="20"/>
        <v>0</v>
      </c>
      <c r="AN24" s="209">
        <f t="shared" ref="AN24:BG24" ca="1" si="21">AN36*AM19</f>
        <v>0</v>
      </c>
      <c r="AO24" s="209">
        <f t="shared" ca="1" si="21"/>
        <v>0</v>
      </c>
      <c r="AP24" s="209">
        <f t="shared" ca="1" si="21"/>
        <v>0</v>
      </c>
      <c r="AQ24" s="209">
        <f t="shared" ca="1" si="21"/>
        <v>0</v>
      </c>
      <c r="AR24" s="209">
        <f t="shared" ca="1" si="21"/>
        <v>0</v>
      </c>
      <c r="AS24" s="209">
        <f t="shared" ca="1" si="21"/>
        <v>0</v>
      </c>
      <c r="AT24" s="209">
        <f t="shared" ca="1" si="21"/>
        <v>0</v>
      </c>
      <c r="AU24" s="209">
        <f t="shared" ca="1" si="21"/>
        <v>0</v>
      </c>
      <c r="AV24" s="209">
        <f t="shared" ca="1" si="21"/>
        <v>0</v>
      </c>
      <c r="AW24" s="209">
        <f t="shared" ca="1" si="21"/>
        <v>0</v>
      </c>
      <c r="AX24" s="209">
        <f t="shared" ca="1" si="21"/>
        <v>0</v>
      </c>
      <c r="AY24" s="209">
        <f t="shared" ca="1" si="21"/>
        <v>0</v>
      </c>
      <c r="AZ24" s="209">
        <f t="shared" ca="1" si="21"/>
        <v>0</v>
      </c>
      <c r="BA24" s="209">
        <f t="shared" ca="1" si="21"/>
        <v>0</v>
      </c>
      <c r="BB24" s="209">
        <f t="shared" ca="1" si="21"/>
        <v>0</v>
      </c>
      <c r="BC24" s="209">
        <f t="shared" ca="1" si="21"/>
        <v>0</v>
      </c>
      <c r="BD24" s="209">
        <f t="shared" ca="1" si="21"/>
        <v>0</v>
      </c>
      <c r="BE24" s="209">
        <f t="shared" ca="1" si="21"/>
        <v>0</v>
      </c>
      <c r="BF24" s="209">
        <f t="shared" ca="1" si="21"/>
        <v>0</v>
      </c>
      <c r="BG24" s="209">
        <f t="shared" ca="1" si="21"/>
        <v>0</v>
      </c>
    </row>
    <row r="25" spans="1:59" hidden="1">
      <c r="A25" s="264" t="s">
        <v>460</v>
      </c>
      <c r="B25" s="204">
        <f t="shared" ca="1" si="18"/>
        <v>0</v>
      </c>
      <c r="C25" s="204"/>
      <c r="D25" s="204"/>
      <c r="E25" s="204"/>
      <c r="F25" s="204"/>
      <c r="G25" s="204">
        <f t="shared" ca="1" si="19"/>
        <v>0</v>
      </c>
      <c r="H25" s="209">
        <f t="shared" ref="H25:AM25" si="22">H36*F22</f>
        <v>0</v>
      </c>
      <c r="I25" s="209">
        <f t="shared" ca="1" si="22"/>
        <v>0</v>
      </c>
      <c r="J25" s="209">
        <f t="shared" ca="1" si="22"/>
        <v>0</v>
      </c>
      <c r="K25" s="209">
        <f t="shared" ca="1" si="22"/>
        <v>0</v>
      </c>
      <c r="L25" s="209">
        <f t="shared" ca="1" si="22"/>
        <v>0</v>
      </c>
      <c r="M25" s="209">
        <f t="shared" ca="1" si="22"/>
        <v>0</v>
      </c>
      <c r="N25" s="209">
        <f t="shared" ca="1" si="22"/>
        <v>0</v>
      </c>
      <c r="O25" s="209">
        <f t="shared" ca="1" si="22"/>
        <v>0</v>
      </c>
      <c r="P25" s="209">
        <f t="shared" ca="1" si="22"/>
        <v>0</v>
      </c>
      <c r="Q25" s="209">
        <f t="shared" ca="1" si="22"/>
        <v>0</v>
      </c>
      <c r="R25" s="209">
        <f t="shared" ca="1" si="22"/>
        <v>0</v>
      </c>
      <c r="S25" s="209">
        <f t="shared" ca="1" si="22"/>
        <v>0</v>
      </c>
      <c r="T25" s="209">
        <f t="shared" ca="1" si="22"/>
        <v>0</v>
      </c>
      <c r="U25" s="209">
        <f t="shared" ca="1" si="22"/>
        <v>0</v>
      </c>
      <c r="V25" s="209">
        <f t="shared" ca="1" si="22"/>
        <v>0</v>
      </c>
      <c r="W25" s="209">
        <f t="shared" ca="1" si="22"/>
        <v>0</v>
      </c>
      <c r="X25" s="209">
        <f t="shared" ca="1" si="22"/>
        <v>0</v>
      </c>
      <c r="Y25" s="209">
        <f t="shared" ca="1" si="22"/>
        <v>0</v>
      </c>
      <c r="Z25" s="209">
        <f t="shared" ca="1" si="22"/>
        <v>0</v>
      </c>
      <c r="AA25" s="209">
        <f t="shared" ca="1" si="22"/>
        <v>0</v>
      </c>
      <c r="AB25" s="209">
        <f t="shared" ca="1" si="22"/>
        <v>0</v>
      </c>
      <c r="AC25" s="209">
        <f t="shared" ca="1" si="22"/>
        <v>0</v>
      </c>
      <c r="AD25" s="209">
        <f t="shared" ca="1" si="22"/>
        <v>0</v>
      </c>
      <c r="AE25" s="209">
        <f t="shared" ca="1" si="22"/>
        <v>0</v>
      </c>
      <c r="AF25" s="209">
        <f t="shared" ca="1" si="22"/>
        <v>0</v>
      </c>
      <c r="AG25" s="209">
        <f t="shared" ca="1" si="22"/>
        <v>0</v>
      </c>
      <c r="AH25" s="209">
        <f t="shared" ca="1" si="22"/>
        <v>0</v>
      </c>
      <c r="AI25" s="209">
        <f t="shared" ca="1" si="22"/>
        <v>0</v>
      </c>
      <c r="AJ25" s="209">
        <f t="shared" ca="1" si="22"/>
        <v>0</v>
      </c>
      <c r="AK25" s="209">
        <f t="shared" ca="1" si="22"/>
        <v>0</v>
      </c>
      <c r="AL25" s="209">
        <f t="shared" ca="1" si="22"/>
        <v>0</v>
      </c>
      <c r="AM25" s="209">
        <f t="shared" ca="1" si="22"/>
        <v>0</v>
      </c>
      <c r="AN25" s="209">
        <f t="shared" ref="AN25:BG25" ca="1" si="23">AN36*AL22</f>
        <v>0</v>
      </c>
      <c r="AO25" s="209">
        <f t="shared" ca="1" si="23"/>
        <v>0</v>
      </c>
      <c r="AP25" s="209">
        <f t="shared" ca="1" si="23"/>
        <v>0</v>
      </c>
      <c r="AQ25" s="209">
        <f t="shared" ca="1" si="23"/>
        <v>0</v>
      </c>
      <c r="AR25" s="209">
        <f t="shared" ca="1" si="23"/>
        <v>0</v>
      </c>
      <c r="AS25" s="209">
        <f t="shared" ca="1" si="23"/>
        <v>0</v>
      </c>
      <c r="AT25" s="209">
        <f t="shared" ca="1" si="23"/>
        <v>0</v>
      </c>
      <c r="AU25" s="209">
        <f t="shared" ca="1" si="23"/>
        <v>0</v>
      </c>
      <c r="AV25" s="209">
        <f t="shared" ca="1" si="23"/>
        <v>0</v>
      </c>
      <c r="AW25" s="209">
        <f t="shared" ca="1" si="23"/>
        <v>0</v>
      </c>
      <c r="AX25" s="209">
        <f t="shared" ca="1" si="23"/>
        <v>0</v>
      </c>
      <c r="AY25" s="209">
        <f t="shared" ca="1" si="23"/>
        <v>0</v>
      </c>
      <c r="AZ25" s="209">
        <f t="shared" ca="1" si="23"/>
        <v>0</v>
      </c>
      <c r="BA25" s="209">
        <f t="shared" ca="1" si="23"/>
        <v>0</v>
      </c>
      <c r="BB25" s="209">
        <f t="shared" ca="1" si="23"/>
        <v>0</v>
      </c>
      <c r="BC25" s="209">
        <f t="shared" ca="1" si="23"/>
        <v>0</v>
      </c>
      <c r="BD25" s="209">
        <f t="shared" ca="1" si="23"/>
        <v>0</v>
      </c>
      <c r="BE25" s="209">
        <f t="shared" ca="1" si="23"/>
        <v>0</v>
      </c>
      <c r="BF25" s="209">
        <f t="shared" ca="1" si="23"/>
        <v>0</v>
      </c>
      <c r="BG25" s="209">
        <f t="shared" ca="1" si="23"/>
        <v>0</v>
      </c>
    </row>
    <row r="26" spans="1:59" hidden="1">
      <c r="A26" s="262" t="s">
        <v>349</v>
      </c>
      <c r="B26" s="263"/>
      <c r="C26" s="263"/>
      <c r="D26" s="263"/>
      <c r="E26" s="263"/>
      <c r="F26" s="263"/>
      <c r="G26" s="328">
        <f ca="1">SUM(H26:BG26)</f>
        <v>1902</v>
      </c>
      <c r="H26" s="209">
        <f ca="1">MAX($J$6-SUM(H19:H25,H27:H31),0)</f>
        <v>0</v>
      </c>
      <c r="I26" s="209">
        <f t="shared" ref="I26:BG26" ca="1" si="24">MAX($J$6-SUM(I19:I25,I27:I31),0)</f>
        <v>0</v>
      </c>
      <c r="J26" s="209">
        <f t="shared" ca="1" si="24"/>
        <v>0</v>
      </c>
      <c r="K26" s="209">
        <f t="shared" ca="1" si="24"/>
        <v>0</v>
      </c>
      <c r="L26" s="209">
        <f t="shared" ca="1" si="24"/>
        <v>0</v>
      </c>
      <c r="M26" s="209">
        <f t="shared" ca="1" si="24"/>
        <v>0</v>
      </c>
      <c r="N26" s="209">
        <f t="shared" ca="1" si="24"/>
        <v>0</v>
      </c>
      <c r="O26" s="209">
        <f t="shared" ca="1" si="24"/>
        <v>0</v>
      </c>
      <c r="P26" s="209">
        <f t="shared" ca="1" si="24"/>
        <v>0</v>
      </c>
      <c r="Q26" s="209">
        <f t="shared" ca="1" si="24"/>
        <v>0</v>
      </c>
      <c r="R26" s="209">
        <f t="shared" ca="1" si="24"/>
        <v>0</v>
      </c>
      <c r="S26" s="209">
        <f t="shared" ca="1" si="24"/>
        <v>0</v>
      </c>
      <c r="T26" s="209">
        <f t="shared" ca="1" si="24"/>
        <v>0</v>
      </c>
      <c r="U26" s="209">
        <f t="shared" ca="1" si="24"/>
        <v>43</v>
      </c>
      <c r="V26" s="209">
        <f t="shared" ca="1" si="24"/>
        <v>43</v>
      </c>
      <c r="W26" s="209">
        <f t="shared" ca="1" si="24"/>
        <v>43</v>
      </c>
      <c r="X26" s="209">
        <f t="shared" ca="1" si="24"/>
        <v>43</v>
      </c>
      <c r="Y26" s="209">
        <f t="shared" ca="1" si="24"/>
        <v>43</v>
      </c>
      <c r="Z26" s="209">
        <f t="shared" ca="1" si="24"/>
        <v>68</v>
      </c>
      <c r="AA26" s="209">
        <f t="shared" ca="1" si="24"/>
        <v>43</v>
      </c>
      <c r="AB26" s="209">
        <f t="shared" ca="1" si="24"/>
        <v>43</v>
      </c>
      <c r="AC26" s="209">
        <f t="shared" ca="1" si="24"/>
        <v>43</v>
      </c>
      <c r="AD26" s="209">
        <f t="shared" ca="1" si="24"/>
        <v>43</v>
      </c>
      <c r="AE26" s="209">
        <f t="shared" ca="1" si="24"/>
        <v>43</v>
      </c>
      <c r="AF26" s="209">
        <f t="shared" ca="1" si="24"/>
        <v>68</v>
      </c>
      <c r="AG26" s="209">
        <f t="shared" ca="1" si="24"/>
        <v>43</v>
      </c>
      <c r="AH26" s="209">
        <f t="shared" ca="1" si="24"/>
        <v>43</v>
      </c>
      <c r="AI26" s="209">
        <f t="shared" ca="1" si="24"/>
        <v>43</v>
      </c>
      <c r="AJ26" s="209">
        <f t="shared" ca="1" si="24"/>
        <v>43</v>
      </c>
      <c r="AK26" s="209">
        <f t="shared" ca="1" si="24"/>
        <v>43</v>
      </c>
      <c r="AL26" s="209">
        <f t="shared" ca="1" si="24"/>
        <v>68</v>
      </c>
      <c r="AM26" s="209">
        <f t="shared" ca="1" si="24"/>
        <v>43</v>
      </c>
      <c r="AN26" s="209">
        <f t="shared" ca="1" si="24"/>
        <v>43</v>
      </c>
      <c r="AO26" s="209">
        <f t="shared" ca="1" si="24"/>
        <v>43</v>
      </c>
      <c r="AP26" s="209">
        <f t="shared" ca="1" si="24"/>
        <v>43</v>
      </c>
      <c r="AQ26" s="209">
        <f t="shared" ca="1" si="24"/>
        <v>43</v>
      </c>
      <c r="AR26" s="209">
        <f t="shared" ca="1" si="24"/>
        <v>68</v>
      </c>
      <c r="AS26" s="209">
        <f t="shared" ca="1" si="24"/>
        <v>43</v>
      </c>
      <c r="AT26" s="209">
        <f t="shared" ca="1" si="24"/>
        <v>43</v>
      </c>
      <c r="AU26" s="209">
        <f t="shared" ca="1" si="24"/>
        <v>43</v>
      </c>
      <c r="AV26" s="209">
        <f t="shared" ca="1" si="24"/>
        <v>43</v>
      </c>
      <c r="AW26" s="209">
        <f t="shared" ca="1" si="24"/>
        <v>43</v>
      </c>
      <c r="AX26" s="209">
        <f t="shared" ca="1" si="24"/>
        <v>68</v>
      </c>
      <c r="AY26" s="209">
        <f t="shared" ca="1" si="24"/>
        <v>43</v>
      </c>
      <c r="AZ26" s="209">
        <f t="shared" ca="1" si="24"/>
        <v>43</v>
      </c>
      <c r="BA26" s="209">
        <f t="shared" ca="1" si="24"/>
        <v>43</v>
      </c>
      <c r="BB26" s="209">
        <f t="shared" ca="1" si="24"/>
        <v>43</v>
      </c>
      <c r="BC26" s="209">
        <f t="shared" ca="1" si="24"/>
        <v>43</v>
      </c>
      <c r="BD26" s="209">
        <f t="shared" ca="1" si="24"/>
        <v>68</v>
      </c>
      <c r="BE26" s="209">
        <f t="shared" ca="1" si="24"/>
        <v>68</v>
      </c>
      <c r="BF26" s="209">
        <f t="shared" ca="1" si="24"/>
        <v>68</v>
      </c>
      <c r="BG26" s="209">
        <f t="shared" ca="1" si="24"/>
        <v>68</v>
      </c>
    </row>
    <row r="27" spans="1:59" hidden="1">
      <c r="A27" s="185" t="s">
        <v>237</v>
      </c>
      <c r="B27" s="189">
        <f t="shared" ref="B27:B28" ca="1" si="25">SUM(H27:BG27)</f>
        <v>414</v>
      </c>
      <c r="C27" s="189"/>
      <c r="D27" s="189"/>
      <c r="E27" s="189"/>
      <c r="F27" s="189"/>
      <c r="G27" s="294">
        <f ca="1">SUM(H27:BG27)</f>
        <v>414</v>
      </c>
      <c r="H27" s="209">
        <f t="shared" ref="H27:AD27" ca="1" si="26">ROUNDDOWN(H$48*H37*$N$4,0)</f>
        <v>0</v>
      </c>
      <c r="I27" s="209">
        <f ca="1">ROUNDDOWN(I$48*I37*$N$4,0)</f>
        <v>0</v>
      </c>
      <c r="J27" s="209">
        <f t="shared" ca="1" si="26"/>
        <v>0</v>
      </c>
      <c r="K27" s="209">
        <f t="shared" ca="1" si="26"/>
        <v>0</v>
      </c>
      <c r="L27" s="209">
        <f t="shared" ca="1" si="26"/>
        <v>0</v>
      </c>
      <c r="M27" s="209">
        <f t="shared" ca="1" si="26"/>
        <v>0</v>
      </c>
      <c r="N27" s="209">
        <f t="shared" ca="1" si="26"/>
        <v>0</v>
      </c>
      <c r="O27" s="209">
        <f t="shared" ca="1" si="26"/>
        <v>0</v>
      </c>
      <c r="P27" s="209">
        <f t="shared" ca="1" si="26"/>
        <v>0</v>
      </c>
      <c r="Q27" s="209">
        <f t="shared" ca="1" si="26"/>
        <v>0</v>
      </c>
      <c r="R27" s="209">
        <f t="shared" ca="1" si="26"/>
        <v>0</v>
      </c>
      <c r="S27" s="209">
        <f t="shared" ca="1" si="26"/>
        <v>0</v>
      </c>
      <c r="T27" s="209">
        <f t="shared" ca="1" si="26"/>
        <v>0</v>
      </c>
      <c r="U27" s="209">
        <f t="shared" ca="1" si="26"/>
        <v>0</v>
      </c>
      <c r="V27" s="209">
        <f ca="1">ROUNDDOWN(V$48*V37*$N$4,0)</f>
        <v>23</v>
      </c>
      <c r="W27" s="209">
        <f t="shared" ca="1" si="26"/>
        <v>23</v>
      </c>
      <c r="X27" s="209">
        <f t="shared" ca="1" si="26"/>
        <v>23</v>
      </c>
      <c r="Y27" s="209">
        <f t="shared" ca="1" si="26"/>
        <v>0</v>
      </c>
      <c r="Z27" s="209">
        <f t="shared" ca="1" si="26"/>
        <v>0</v>
      </c>
      <c r="AA27" s="209">
        <f t="shared" ca="1" si="26"/>
        <v>0</v>
      </c>
      <c r="AB27" s="209">
        <f t="shared" ca="1" si="26"/>
        <v>23</v>
      </c>
      <c r="AC27" s="209">
        <f t="shared" ca="1" si="26"/>
        <v>23</v>
      </c>
      <c r="AD27" s="209">
        <f t="shared" ca="1" si="26"/>
        <v>23</v>
      </c>
      <c r="AE27" s="209">
        <f ca="1">ROUNDDOWN(AE$48*AE37*$N$4,0)</f>
        <v>0</v>
      </c>
      <c r="AF27" s="209">
        <f t="shared" ref="AF27:BG27" ca="1" si="27">ROUNDDOWN(AF$48*AF37*$N$4,0)</f>
        <v>0</v>
      </c>
      <c r="AG27" s="209">
        <f ca="1">ROUNDDOWN(AG$48*AG37*$N$4,0)</f>
        <v>0</v>
      </c>
      <c r="AH27" s="209">
        <f t="shared" ca="1" si="27"/>
        <v>23</v>
      </c>
      <c r="AI27" s="209">
        <f t="shared" ca="1" si="27"/>
        <v>23</v>
      </c>
      <c r="AJ27" s="209">
        <f t="shared" ca="1" si="27"/>
        <v>23</v>
      </c>
      <c r="AK27" s="209">
        <f t="shared" ca="1" si="27"/>
        <v>0</v>
      </c>
      <c r="AL27" s="209">
        <f t="shared" ca="1" si="27"/>
        <v>0</v>
      </c>
      <c r="AM27" s="209">
        <f t="shared" ca="1" si="27"/>
        <v>0</v>
      </c>
      <c r="AN27" s="209">
        <f t="shared" ca="1" si="27"/>
        <v>23</v>
      </c>
      <c r="AO27" s="209">
        <f t="shared" ca="1" si="27"/>
        <v>23</v>
      </c>
      <c r="AP27" s="209">
        <f t="shared" ca="1" si="27"/>
        <v>23</v>
      </c>
      <c r="AQ27" s="209">
        <f t="shared" ca="1" si="27"/>
        <v>0</v>
      </c>
      <c r="AR27" s="209">
        <f t="shared" ca="1" si="27"/>
        <v>0</v>
      </c>
      <c r="AS27" s="209">
        <f t="shared" ca="1" si="27"/>
        <v>0</v>
      </c>
      <c r="AT27" s="209">
        <f t="shared" ca="1" si="27"/>
        <v>23</v>
      </c>
      <c r="AU27" s="209">
        <f t="shared" ca="1" si="27"/>
        <v>23</v>
      </c>
      <c r="AV27" s="209">
        <f t="shared" ca="1" si="27"/>
        <v>23</v>
      </c>
      <c r="AW27" s="209">
        <f t="shared" ca="1" si="27"/>
        <v>0</v>
      </c>
      <c r="AX27" s="209">
        <f t="shared" ca="1" si="27"/>
        <v>0</v>
      </c>
      <c r="AY27" s="209">
        <f t="shared" ca="1" si="27"/>
        <v>0</v>
      </c>
      <c r="AZ27" s="209">
        <f t="shared" ca="1" si="27"/>
        <v>23</v>
      </c>
      <c r="BA27" s="209">
        <f t="shared" ca="1" si="27"/>
        <v>23</v>
      </c>
      <c r="BB27" s="209">
        <f t="shared" ca="1" si="27"/>
        <v>23</v>
      </c>
      <c r="BC27" s="209">
        <f t="shared" ca="1" si="27"/>
        <v>0</v>
      </c>
      <c r="BD27" s="209">
        <f t="shared" ca="1" si="27"/>
        <v>0</v>
      </c>
      <c r="BE27" s="209">
        <f t="shared" ca="1" si="27"/>
        <v>0</v>
      </c>
      <c r="BF27" s="209">
        <f t="shared" ca="1" si="27"/>
        <v>0</v>
      </c>
      <c r="BG27" s="209">
        <f t="shared" ca="1" si="27"/>
        <v>0</v>
      </c>
    </row>
    <row r="28" spans="1:59" hidden="1">
      <c r="A28" s="185" t="s">
        <v>238</v>
      </c>
      <c r="B28" s="189">
        <f t="shared" ca="1" si="25"/>
        <v>0</v>
      </c>
      <c r="C28" s="189"/>
      <c r="D28" s="189"/>
      <c r="E28" s="189"/>
      <c r="F28" s="189"/>
      <c r="G28" s="294">
        <f ca="1">SUM(H28:BG28)</f>
        <v>0</v>
      </c>
      <c r="H28" s="209">
        <f t="shared" ref="H28:AM28" ca="1" si="28">ROUNDUP(H$48*H$41*$N$4,0)</f>
        <v>0</v>
      </c>
      <c r="I28" s="209">
        <f t="shared" ca="1" si="28"/>
        <v>0</v>
      </c>
      <c r="J28" s="209">
        <f t="shared" ca="1" si="28"/>
        <v>0</v>
      </c>
      <c r="K28" s="209">
        <f t="shared" ca="1" si="28"/>
        <v>0</v>
      </c>
      <c r="L28" s="209">
        <f t="shared" ca="1" si="28"/>
        <v>0</v>
      </c>
      <c r="M28" s="209">
        <f t="shared" ca="1" si="28"/>
        <v>0</v>
      </c>
      <c r="N28" s="209">
        <f t="shared" ca="1" si="28"/>
        <v>0</v>
      </c>
      <c r="O28" s="209">
        <f t="shared" ca="1" si="28"/>
        <v>0</v>
      </c>
      <c r="P28" s="209">
        <f t="shared" ca="1" si="28"/>
        <v>0</v>
      </c>
      <c r="Q28" s="209">
        <f t="shared" ca="1" si="28"/>
        <v>0</v>
      </c>
      <c r="R28" s="209">
        <f t="shared" ca="1" si="28"/>
        <v>0</v>
      </c>
      <c r="S28" s="209">
        <f t="shared" ca="1" si="28"/>
        <v>0</v>
      </c>
      <c r="T28" s="209">
        <f t="shared" ca="1" si="28"/>
        <v>0</v>
      </c>
      <c r="U28" s="209">
        <f t="shared" ca="1" si="28"/>
        <v>0</v>
      </c>
      <c r="V28" s="209">
        <f t="shared" ca="1" si="28"/>
        <v>0</v>
      </c>
      <c r="W28" s="209">
        <f t="shared" ca="1" si="28"/>
        <v>0</v>
      </c>
      <c r="X28" s="209">
        <f t="shared" ca="1" si="28"/>
        <v>0</v>
      </c>
      <c r="Y28" s="209">
        <f t="shared" ca="1" si="28"/>
        <v>0</v>
      </c>
      <c r="Z28" s="209">
        <f t="shared" ca="1" si="28"/>
        <v>0</v>
      </c>
      <c r="AA28" s="209">
        <f t="shared" ca="1" si="28"/>
        <v>0</v>
      </c>
      <c r="AB28" s="209">
        <f t="shared" ca="1" si="28"/>
        <v>0</v>
      </c>
      <c r="AC28" s="209">
        <f t="shared" ca="1" si="28"/>
        <v>0</v>
      </c>
      <c r="AD28" s="209">
        <f t="shared" ca="1" si="28"/>
        <v>0</v>
      </c>
      <c r="AE28" s="209">
        <f t="shared" ca="1" si="28"/>
        <v>0</v>
      </c>
      <c r="AF28" s="209">
        <f t="shared" ca="1" si="28"/>
        <v>0</v>
      </c>
      <c r="AG28" s="209">
        <f t="shared" ca="1" si="28"/>
        <v>0</v>
      </c>
      <c r="AH28" s="209">
        <f t="shared" ca="1" si="28"/>
        <v>0</v>
      </c>
      <c r="AI28" s="209">
        <f t="shared" ca="1" si="28"/>
        <v>0</v>
      </c>
      <c r="AJ28" s="209">
        <f t="shared" ca="1" si="28"/>
        <v>0</v>
      </c>
      <c r="AK28" s="209">
        <f t="shared" ca="1" si="28"/>
        <v>0</v>
      </c>
      <c r="AL28" s="209">
        <f t="shared" ca="1" si="28"/>
        <v>0</v>
      </c>
      <c r="AM28" s="209">
        <f t="shared" ca="1" si="28"/>
        <v>0</v>
      </c>
      <c r="AN28" s="209">
        <f t="shared" ref="AN28:BG28" ca="1" si="29">ROUNDUP(AN$48*AN$41*$N$4,0)</f>
        <v>0</v>
      </c>
      <c r="AO28" s="209">
        <f t="shared" ca="1" si="29"/>
        <v>0</v>
      </c>
      <c r="AP28" s="209">
        <f t="shared" ca="1" si="29"/>
        <v>0</v>
      </c>
      <c r="AQ28" s="209">
        <f t="shared" ca="1" si="29"/>
        <v>0</v>
      </c>
      <c r="AR28" s="209">
        <f t="shared" ca="1" si="29"/>
        <v>0</v>
      </c>
      <c r="AS28" s="209">
        <f t="shared" ca="1" si="29"/>
        <v>0</v>
      </c>
      <c r="AT28" s="209">
        <f t="shared" ca="1" si="29"/>
        <v>0</v>
      </c>
      <c r="AU28" s="209">
        <f t="shared" ca="1" si="29"/>
        <v>0</v>
      </c>
      <c r="AV28" s="209">
        <f t="shared" ca="1" si="29"/>
        <v>0</v>
      </c>
      <c r="AW28" s="209">
        <f t="shared" ca="1" si="29"/>
        <v>0</v>
      </c>
      <c r="AX28" s="209">
        <f t="shared" ca="1" si="29"/>
        <v>0</v>
      </c>
      <c r="AY28" s="209">
        <f t="shared" ca="1" si="29"/>
        <v>0</v>
      </c>
      <c r="AZ28" s="209">
        <f t="shared" ca="1" si="29"/>
        <v>0</v>
      </c>
      <c r="BA28" s="209">
        <f t="shared" ca="1" si="29"/>
        <v>0</v>
      </c>
      <c r="BB28" s="209">
        <f t="shared" ca="1" si="29"/>
        <v>0</v>
      </c>
      <c r="BC28" s="209">
        <f t="shared" ca="1" si="29"/>
        <v>0</v>
      </c>
      <c r="BD28" s="209">
        <f t="shared" ca="1" si="29"/>
        <v>0</v>
      </c>
      <c r="BE28" s="209">
        <f t="shared" ca="1" si="29"/>
        <v>0</v>
      </c>
      <c r="BF28" s="209">
        <f t="shared" ca="1" si="29"/>
        <v>0</v>
      </c>
      <c r="BG28" s="209">
        <f t="shared" ca="1" si="29"/>
        <v>0</v>
      </c>
    </row>
    <row r="29" spans="1:59" hidden="1">
      <c r="A29" s="185" t="s">
        <v>422</v>
      </c>
      <c r="B29" s="189"/>
      <c r="C29" s="189"/>
      <c r="D29" s="189"/>
      <c r="E29" s="189"/>
      <c r="F29" s="189"/>
      <c r="G29" s="294">
        <f t="shared" ref="G29" ca="1" si="30">SUM(H29:BG29)</f>
        <v>36</v>
      </c>
      <c r="H29" s="209">
        <f ca="1">ROUNDDOWN(H27*(0.1),0)</f>
        <v>0</v>
      </c>
      <c r="I29" s="209">
        <f t="shared" ref="I29:AD29" ca="1" si="31">ROUNDDOWN(I27*(0.1),0)</f>
        <v>0</v>
      </c>
      <c r="J29" s="209">
        <f t="shared" ca="1" si="31"/>
        <v>0</v>
      </c>
      <c r="K29" s="209">
        <f t="shared" ca="1" si="31"/>
        <v>0</v>
      </c>
      <c r="L29" s="209">
        <f t="shared" ca="1" si="31"/>
        <v>0</v>
      </c>
      <c r="M29" s="209">
        <f t="shared" ca="1" si="31"/>
        <v>0</v>
      </c>
      <c r="N29" s="209">
        <f t="shared" ca="1" si="31"/>
        <v>0</v>
      </c>
      <c r="O29" s="209">
        <f t="shared" ca="1" si="31"/>
        <v>0</v>
      </c>
      <c r="P29" s="209">
        <f t="shared" ca="1" si="31"/>
        <v>0</v>
      </c>
      <c r="Q29" s="209">
        <f t="shared" ca="1" si="31"/>
        <v>0</v>
      </c>
      <c r="R29" s="209">
        <f t="shared" ca="1" si="31"/>
        <v>0</v>
      </c>
      <c r="S29" s="209">
        <f t="shared" ca="1" si="31"/>
        <v>0</v>
      </c>
      <c r="T29" s="209">
        <f t="shared" ca="1" si="31"/>
        <v>0</v>
      </c>
      <c r="U29" s="209">
        <f t="shared" ca="1" si="31"/>
        <v>0</v>
      </c>
      <c r="V29" s="209">
        <f ca="1">ROUNDDOWN(V27*(0.1),0)</f>
        <v>2</v>
      </c>
      <c r="W29" s="209">
        <f t="shared" ca="1" si="31"/>
        <v>2</v>
      </c>
      <c r="X29" s="209">
        <f t="shared" ca="1" si="31"/>
        <v>2</v>
      </c>
      <c r="Y29" s="209">
        <f t="shared" ca="1" si="31"/>
        <v>0</v>
      </c>
      <c r="Z29" s="209">
        <f t="shared" ca="1" si="31"/>
        <v>0</v>
      </c>
      <c r="AA29" s="209">
        <f t="shared" ca="1" si="31"/>
        <v>0</v>
      </c>
      <c r="AB29" s="209">
        <f ca="1">ROUNDDOWN(AB27*(0.1),0)</f>
        <v>2</v>
      </c>
      <c r="AC29" s="209">
        <f t="shared" ca="1" si="31"/>
        <v>2</v>
      </c>
      <c r="AD29" s="209">
        <f t="shared" ca="1" si="31"/>
        <v>2</v>
      </c>
      <c r="AE29" s="209">
        <f ca="1">ROUNDDOWN(AE27*(0.1),0)</f>
        <v>0</v>
      </c>
      <c r="AF29" s="209">
        <f t="shared" ref="AF29:BG29" ca="1" si="32">ROUNDDOWN(AF27*(0.1),0)</f>
        <v>0</v>
      </c>
      <c r="AG29" s="209">
        <f t="shared" ca="1" si="32"/>
        <v>0</v>
      </c>
      <c r="AH29" s="209">
        <f t="shared" ca="1" si="32"/>
        <v>2</v>
      </c>
      <c r="AI29" s="209">
        <f t="shared" ca="1" si="32"/>
        <v>2</v>
      </c>
      <c r="AJ29" s="209">
        <f t="shared" ca="1" si="32"/>
        <v>2</v>
      </c>
      <c r="AK29" s="209">
        <f t="shared" ca="1" si="32"/>
        <v>0</v>
      </c>
      <c r="AL29" s="209">
        <f t="shared" ca="1" si="32"/>
        <v>0</v>
      </c>
      <c r="AM29" s="209">
        <f t="shared" ca="1" si="32"/>
        <v>0</v>
      </c>
      <c r="AN29" s="209">
        <f t="shared" ca="1" si="32"/>
        <v>2</v>
      </c>
      <c r="AO29" s="209">
        <f t="shared" ca="1" si="32"/>
        <v>2</v>
      </c>
      <c r="AP29" s="209">
        <f t="shared" ca="1" si="32"/>
        <v>2</v>
      </c>
      <c r="AQ29" s="209">
        <f t="shared" ca="1" si="32"/>
        <v>0</v>
      </c>
      <c r="AR29" s="209">
        <f t="shared" ca="1" si="32"/>
        <v>0</v>
      </c>
      <c r="AS29" s="209">
        <f t="shared" ca="1" si="32"/>
        <v>0</v>
      </c>
      <c r="AT29" s="209">
        <f t="shared" ca="1" si="32"/>
        <v>2</v>
      </c>
      <c r="AU29" s="209">
        <f t="shared" ca="1" si="32"/>
        <v>2</v>
      </c>
      <c r="AV29" s="209">
        <f t="shared" ca="1" si="32"/>
        <v>2</v>
      </c>
      <c r="AW29" s="209">
        <f t="shared" ca="1" si="32"/>
        <v>0</v>
      </c>
      <c r="AX29" s="209">
        <f t="shared" ca="1" si="32"/>
        <v>0</v>
      </c>
      <c r="AY29" s="209">
        <f t="shared" ca="1" si="32"/>
        <v>0</v>
      </c>
      <c r="AZ29" s="209">
        <f t="shared" ca="1" si="32"/>
        <v>2</v>
      </c>
      <c r="BA29" s="209">
        <f t="shared" ca="1" si="32"/>
        <v>2</v>
      </c>
      <c r="BB29" s="209">
        <f t="shared" ca="1" si="32"/>
        <v>2</v>
      </c>
      <c r="BC29" s="209">
        <f t="shared" ca="1" si="32"/>
        <v>0</v>
      </c>
      <c r="BD29" s="209">
        <f t="shared" ca="1" si="32"/>
        <v>0</v>
      </c>
      <c r="BE29" s="209">
        <f t="shared" ca="1" si="32"/>
        <v>0</v>
      </c>
      <c r="BF29" s="209">
        <f t="shared" ca="1" si="32"/>
        <v>0</v>
      </c>
      <c r="BG29" s="209">
        <f t="shared" ca="1" si="32"/>
        <v>0</v>
      </c>
    </row>
    <row r="30" spans="1:59" hidden="1">
      <c r="A30" s="183" t="s">
        <v>541</v>
      </c>
      <c r="B30" s="283">
        <f ca="1">SUM(H30:BG30)</f>
        <v>300</v>
      </c>
      <c r="C30" s="283">
        <f ca="1">COUNTIFS($H30:$BG30,"&lt;="&amp;C$18,$H30:$BG30,"&gt;"&amp;D$18)</f>
        <v>0</v>
      </c>
      <c r="D30" s="283">
        <f ca="1">COUNTIFS($H30:$BG30,"&lt;="&amp;D$18,$H30:$BG30,"&gt;"&amp;E$18)</f>
        <v>0</v>
      </c>
      <c r="E30" s="283">
        <f ca="1">COUNTIFS($H30:$BG30,"&lt;="&amp;E$18,$H30:$BG30,"&gt;"&amp;F$18)</f>
        <v>12</v>
      </c>
      <c r="F30" s="283">
        <f ca="1">COUNTIFS($H30:$BG30,"&lt;="&amp;F$18,$H30:$BG30,"&gt;"&amp;G$18)</f>
        <v>0</v>
      </c>
      <c r="G30" s="283">
        <f ca="1">SUM(H30:BG30)</f>
        <v>300</v>
      </c>
      <c r="H30" s="209"/>
      <c r="I30" s="209">
        <f t="shared" ref="H30:AE30" ca="1" si="33">IF(OR(AND(I27=0,J27&gt;=1),AND(H27&gt;=1,I27=0)),SUM(H27,J27,J29,H29),0)</f>
        <v>0</v>
      </c>
      <c r="J30" s="209">
        <f t="shared" ca="1" si="33"/>
        <v>0</v>
      </c>
      <c r="K30" s="209">
        <f t="shared" ca="1" si="33"/>
        <v>0</v>
      </c>
      <c r="L30" s="209">
        <f t="shared" ca="1" si="33"/>
        <v>0</v>
      </c>
      <c r="M30" s="209">
        <f t="shared" ca="1" si="33"/>
        <v>0</v>
      </c>
      <c r="N30" s="209">
        <f t="shared" ca="1" si="33"/>
        <v>0</v>
      </c>
      <c r="O30" s="209">
        <f t="shared" ca="1" si="33"/>
        <v>0</v>
      </c>
      <c r="P30" s="209">
        <f t="shared" ca="1" si="33"/>
        <v>0</v>
      </c>
      <c r="Q30" s="209">
        <f t="shared" ca="1" si="33"/>
        <v>0</v>
      </c>
      <c r="R30" s="209">
        <f t="shared" ca="1" si="33"/>
        <v>0</v>
      </c>
      <c r="S30" s="209">
        <f t="shared" ca="1" si="33"/>
        <v>0</v>
      </c>
      <c r="T30" s="209">
        <f t="shared" ca="1" si="33"/>
        <v>0</v>
      </c>
      <c r="U30" s="209">
        <f t="shared" ca="1" si="33"/>
        <v>25</v>
      </c>
      <c r="V30" s="209">
        <f t="shared" ca="1" si="33"/>
        <v>0</v>
      </c>
      <c r="W30" s="209">
        <f t="shared" ca="1" si="33"/>
        <v>0</v>
      </c>
      <c r="X30" s="209">
        <f t="shared" ca="1" si="33"/>
        <v>0</v>
      </c>
      <c r="Y30" s="209">
        <f t="shared" ca="1" si="33"/>
        <v>25</v>
      </c>
      <c r="Z30" s="209">
        <f t="shared" ca="1" si="33"/>
        <v>0</v>
      </c>
      <c r="AA30" s="209">
        <f t="shared" ca="1" si="33"/>
        <v>25</v>
      </c>
      <c r="AB30" s="209">
        <f t="shared" ca="1" si="33"/>
        <v>0</v>
      </c>
      <c r="AC30" s="209">
        <f t="shared" ca="1" si="33"/>
        <v>0</v>
      </c>
      <c r="AD30" s="209">
        <f t="shared" ca="1" si="33"/>
        <v>0</v>
      </c>
      <c r="AE30" s="209">
        <f t="shared" ca="1" si="33"/>
        <v>25</v>
      </c>
      <c r="AF30" s="209">
        <f ca="1">IF(OR(AND(AF27=0,AG27&gt;=1),AND(AE27&gt;=1,AF27=0)),SUM(AE27,AG27,AG29,AE29),0)</f>
        <v>0</v>
      </c>
      <c r="AG30" s="209">
        <f t="shared" ref="AG30:BG30" ca="1" si="34">IF(OR(AND(AG27=0,AH27&gt;=1),AND(AF27&gt;=1,AG27=0)),SUM(AF27,AH27,AH29,AF29),0)</f>
        <v>25</v>
      </c>
      <c r="AH30" s="209">
        <f t="shared" ca="1" si="34"/>
        <v>0</v>
      </c>
      <c r="AI30" s="209">
        <f t="shared" ca="1" si="34"/>
        <v>0</v>
      </c>
      <c r="AJ30" s="209">
        <f t="shared" ca="1" si="34"/>
        <v>0</v>
      </c>
      <c r="AK30" s="209">
        <f t="shared" ca="1" si="34"/>
        <v>25</v>
      </c>
      <c r="AL30" s="209">
        <f t="shared" ca="1" si="34"/>
        <v>0</v>
      </c>
      <c r="AM30" s="209">
        <f t="shared" ca="1" si="34"/>
        <v>25</v>
      </c>
      <c r="AN30" s="209">
        <f t="shared" ca="1" si="34"/>
        <v>0</v>
      </c>
      <c r="AO30" s="209">
        <f t="shared" ca="1" si="34"/>
        <v>0</v>
      </c>
      <c r="AP30" s="209">
        <f t="shared" ca="1" si="34"/>
        <v>0</v>
      </c>
      <c r="AQ30" s="209">
        <f t="shared" ca="1" si="34"/>
        <v>25</v>
      </c>
      <c r="AR30" s="209">
        <f t="shared" ca="1" si="34"/>
        <v>0</v>
      </c>
      <c r="AS30" s="209">
        <f t="shared" ca="1" si="34"/>
        <v>25</v>
      </c>
      <c r="AT30" s="209">
        <f t="shared" ca="1" si="34"/>
        <v>0</v>
      </c>
      <c r="AU30" s="209">
        <f t="shared" ca="1" si="34"/>
        <v>0</v>
      </c>
      <c r="AV30" s="209">
        <f t="shared" ca="1" si="34"/>
        <v>0</v>
      </c>
      <c r="AW30" s="209">
        <f t="shared" ca="1" si="34"/>
        <v>25</v>
      </c>
      <c r="AX30" s="209">
        <f t="shared" ca="1" si="34"/>
        <v>0</v>
      </c>
      <c r="AY30" s="209">
        <f t="shared" ca="1" si="34"/>
        <v>25</v>
      </c>
      <c r="AZ30" s="209">
        <f t="shared" ca="1" si="34"/>
        <v>0</v>
      </c>
      <c r="BA30" s="209">
        <f t="shared" ca="1" si="34"/>
        <v>0</v>
      </c>
      <c r="BB30" s="209">
        <f t="shared" ca="1" si="34"/>
        <v>0</v>
      </c>
      <c r="BC30" s="209">
        <f t="shared" ca="1" si="34"/>
        <v>25</v>
      </c>
      <c r="BD30" s="209">
        <f t="shared" ca="1" si="34"/>
        <v>0</v>
      </c>
      <c r="BE30" s="209">
        <f t="shared" ca="1" si="34"/>
        <v>0</v>
      </c>
      <c r="BF30" s="209">
        <f t="shared" ca="1" si="34"/>
        <v>0</v>
      </c>
      <c r="BG30" s="209">
        <f t="shared" ca="1" si="34"/>
        <v>0</v>
      </c>
    </row>
    <row r="31" spans="1:59" hidden="1">
      <c r="A31" s="183" t="s">
        <v>542</v>
      </c>
      <c r="B31" s="283"/>
      <c r="C31" s="283">
        <f t="shared" ref="C31:F31" ca="1" si="35">COUNTIFS($H31:$BG31,"&lt;="&amp;C$18,$H31:$BG31,"&gt;="&amp;D$18)</f>
        <v>0</v>
      </c>
      <c r="D31" s="283">
        <f t="shared" ca="1" si="35"/>
        <v>0</v>
      </c>
      <c r="E31" s="283">
        <f t="shared" ca="1" si="35"/>
        <v>0</v>
      </c>
      <c r="F31" s="283">
        <f t="shared" ca="1" si="35"/>
        <v>0</v>
      </c>
      <c r="G31" s="283">
        <f ca="1">SUM(H31:BG31)</f>
        <v>0</v>
      </c>
      <c r="H31" s="209"/>
      <c r="I31" s="209">
        <f ca="1">IF(OR(AND(I28=0,J28&gt;=1),AND(H28&gt;=1,I28=0)),SUM(H28,J28),0)</f>
        <v>0</v>
      </c>
      <c r="J31" s="209">
        <f t="shared" ref="J31:AC31" ca="1" si="36">IF(OR(AND(J28=0,K28&gt;=1),AND(I28&gt;=1,J28=0)),SUM(I28,K28),0)</f>
        <v>0</v>
      </c>
      <c r="K31" s="209">
        <f t="shared" ca="1" si="36"/>
        <v>0</v>
      </c>
      <c r="L31" s="209">
        <f t="shared" ca="1" si="36"/>
        <v>0</v>
      </c>
      <c r="M31" s="209">
        <f t="shared" ca="1" si="36"/>
        <v>0</v>
      </c>
      <c r="N31" s="209">
        <f t="shared" ca="1" si="36"/>
        <v>0</v>
      </c>
      <c r="O31" s="209">
        <f t="shared" ca="1" si="36"/>
        <v>0</v>
      </c>
      <c r="P31" s="209">
        <f t="shared" ca="1" si="36"/>
        <v>0</v>
      </c>
      <c r="Q31" s="209">
        <f t="shared" ca="1" si="36"/>
        <v>0</v>
      </c>
      <c r="R31" s="209">
        <f t="shared" ca="1" si="36"/>
        <v>0</v>
      </c>
      <c r="S31" s="209">
        <f t="shared" ca="1" si="36"/>
        <v>0</v>
      </c>
      <c r="T31" s="209">
        <f t="shared" ca="1" si="36"/>
        <v>0</v>
      </c>
      <c r="U31" s="209">
        <f ca="1">IF(OR(AND(U28=0,V28&gt;=1),AND(T28&gt;=1,U28=0)),SUM(T28,V28),0)</f>
        <v>0</v>
      </c>
      <c r="V31" s="209">
        <f t="shared" ca="1" si="36"/>
        <v>0</v>
      </c>
      <c r="W31" s="209">
        <f t="shared" ca="1" si="36"/>
        <v>0</v>
      </c>
      <c r="X31" s="209">
        <f t="shared" ca="1" si="36"/>
        <v>0</v>
      </c>
      <c r="Y31" s="209">
        <f t="shared" ca="1" si="36"/>
        <v>0</v>
      </c>
      <c r="Z31" s="209">
        <f t="shared" ca="1" si="36"/>
        <v>0</v>
      </c>
      <c r="AA31" s="209">
        <f t="shared" ca="1" si="36"/>
        <v>0</v>
      </c>
      <c r="AB31" s="209">
        <f t="shared" ca="1" si="36"/>
        <v>0</v>
      </c>
      <c r="AC31" s="209">
        <f t="shared" ca="1" si="36"/>
        <v>0</v>
      </c>
      <c r="AD31" s="209">
        <f ca="1">IF(OR(AND(AD28=0,AE28&gt;=1),AND(AC28&gt;=1,AD28=0)),SUM(AC28,AE28),0)</f>
        <v>0</v>
      </c>
      <c r="AE31" s="209">
        <f t="shared" ref="AE31:BG31" ca="1" si="37">IF(OR(AND(AE28=0,AF28&gt;=1),AND(AD28&gt;=1,AE28=0)),SUM(AD28,AF28),0)</f>
        <v>0</v>
      </c>
      <c r="AF31" s="209">
        <f t="shared" ca="1" si="37"/>
        <v>0</v>
      </c>
      <c r="AG31" s="209">
        <f t="shared" ca="1" si="37"/>
        <v>0</v>
      </c>
      <c r="AH31" s="209">
        <f t="shared" ca="1" si="37"/>
        <v>0</v>
      </c>
      <c r="AI31" s="209">
        <f t="shared" ca="1" si="37"/>
        <v>0</v>
      </c>
      <c r="AJ31" s="209">
        <f t="shared" ca="1" si="37"/>
        <v>0</v>
      </c>
      <c r="AK31" s="209">
        <f t="shared" ca="1" si="37"/>
        <v>0</v>
      </c>
      <c r="AL31" s="209">
        <f t="shared" ca="1" si="37"/>
        <v>0</v>
      </c>
      <c r="AM31" s="209">
        <f t="shared" ca="1" si="37"/>
        <v>0</v>
      </c>
      <c r="AN31" s="209">
        <f t="shared" ca="1" si="37"/>
        <v>0</v>
      </c>
      <c r="AO31" s="209">
        <f t="shared" ca="1" si="37"/>
        <v>0</v>
      </c>
      <c r="AP31" s="209">
        <f t="shared" ca="1" si="37"/>
        <v>0</v>
      </c>
      <c r="AQ31" s="209">
        <f t="shared" ca="1" si="37"/>
        <v>0</v>
      </c>
      <c r="AR31" s="209">
        <f t="shared" ca="1" si="37"/>
        <v>0</v>
      </c>
      <c r="AS31" s="209">
        <f t="shared" ca="1" si="37"/>
        <v>0</v>
      </c>
      <c r="AT31" s="209">
        <f t="shared" ca="1" si="37"/>
        <v>0</v>
      </c>
      <c r="AU31" s="209">
        <f t="shared" ca="1" si="37"/>
        <v>0</v>
      </c>
      <c r="AV31" s="209">
        <f t="shared" ca="1" si="37"/>
        <v>0</v>
      </c>
      <c r="AW31" s="209">
        <f t="shared" ca="1" si="37"/>
        <v>0</v>
      </c>
      <c r="AX31" s="209">
        <f t="shared" ca="1" si="37"/>
        <v>0</v>
      </c>
      <c r="AY31" s="209">
        <f t="shared" ca="1" si="37"/>
        <v>0</v>
      </c>
      <c r="AZ31" s="209">
        <f t="shared" ca="1" si="37"/>
        <v>0</v>
      </c>
      <c r="BA31" s="209">
        <f t="shared" ca="1" si="37"/>
        <v>0</v>
      </c>
      <c r="BB31" s="209">
        <f t="shared" ca="1" si="37"/>
        <v>0</v>
      </c>
      <c r="BC31" s="209">
        <f t="shared" ca="1" si="37"/>
        <v>0</v>
      </c>
      <c r="BD31" s="209">
        <f t="shared" ca="1" si="37"/>
        <v>0</v>
      </c>
      <c r="BE31" s="209">
        <f t="shared" ca="1" si="37"/>
        <v>0</v>
      </c>
      <c r="BF31" s="209">
        <f t="shared" ca="1" si="37"/>
        <v>0</v>
      </c>
      <c r="BG31" s="209">
        <f t="shared" ca="1" si="37"/>
        <v>0</v>
      </c>
    </row>
    <row r="32" spans="1:59" hidden="1">
      <c r="A32" s="264" t="s">
        <v>544</v>
      </c>
      <c r="B32" s="204"/>
      <c r="C32" s="204"/>
      <c r="D32" s="204"/>
      <c r="E32" s="204"/>
      <c r="F32" s="204"/>
      <c r="G32" s="327">
        <f ca="1">SUM(H32:BG32)</f>
        <v>150</v>
      </c>
      <c r="H32" s="209">
        <f ca="1">H46*SUM(G30:G31)</f>
        <v>0</v>
      </c>
      <c r="I32" s="209">
        <f t="shared" ref="I32:BG32" si="38">I46*SUM(H30:H31)</f>
        <v>0</v>
      </c>
      <c r="J32" s="209">
        <f t="shared" ca="1" si="38"/>
        <v>0</v>
      </c>
      <c r="K32" s="209">
        <f t="shared" ca="1" si="38"/>
        <v>0</v>
      </c>
      <c r="L32" s="209">
        <f t="shared" ca="1" si="38"/>
        <v>0</v>
      </c>
      <c r="M32" s="209">
        <f t="shared" ca="1" si="38"/>
        <v>0</v>
      </c>
      <c r="N32" s="209">
        <f t="shared" ca="1" si="38"/>
        <v>0</v>
      </c>
      <c r="O32" s="209">
        <f t="shared" ca="1" si="38"/>
        <v>0</v>
      </c>
      <c r="P32" s="209">
        <f t="shared" ca="1" si="38"/>
        <v>0</v>
      </c>
      <c r="Q32" s="209">
        <f t="shared" ca="1" si="38"/>
        <v>0</v>
      </c>
      <c r="R32" s="209">
        <f t="shared" ca="1" si="38"/>
        <v>0</v>
      </c>
      <c r="S32" s="209">
        <f t="shared" ca="1" si="38"/>
        <v>0</v>
      </c>
      <c r="T32" s="209">
        <f t="shared" ca="1" si="38"/>
        <v>0</v>
      </c>
      <c r="U32" s="209">
        <f t="shared" ca="1" si="38"/>
        <v>0</v>
      </c>
      <c r="V32" s="209">
        <f t="shared" ca="1" si="38"/>
        <v>0</v>
      </c>
      <c r="W32" s="209">
        <f t="shared" ca="1" si="38"/>
        <v>0</v>
      </c>
      <c r="X32" s="209">
        <f t="shared" ca="1" si="38"/>
        <v>0</v>
      </c>
      <c r="Y32" s="209">
        <f t="shared" ca="1" si="38"/>
        <v>0</v>
      </c>
      <c r="Z32" s="209">
        <f t="shared" ca="1" si="38"/>
        <v>25</v>
      </c>
      <c r="AA32" s="209">
        <f t="shared" ca="1" si="38"/>
        <v>0</v>
      </c>
      <c r="AB32" s="209">
        <f t="shared" ca="1" si="38"/>
        <v>0</v>
      </c>
      <c r="AC32" s="209">
        <f t="shared" ca="1" si="38"/>
        <v>0</v>
      </c>
      <c r="AD32" s="209">
        <f t="shared" ca="1" si="38"/>
        <v>0</v>
      </c>
      <c r="AE32" s="209">
        <f t="shared" ca="1" si="38"/>
        <v>0</v>
      </c>
      <c r="AF32" s="209">
        <f t="shared" ca="1" si="38"/>
        <v>25</v>
      </c>
      <c r="AG32" s="209">
        <f t="shared" ca="1" si="38"/>
        <v>0</v>
      </c>
      <c r="AH32" s="209">
        <f t="shared" ca="1" si="38"/>
        <v>0</v>
      </c>
      <c r="AI32" s="209">
        <f t="shared" ca="1" si="38"/>
        <v>0</v>
      </c>
      <c r="AJ32" s="209">
        <f t="shared" ca="1" si="38"/>
        <v>0</v>
      </c>
      <c r="AK32" s="209">
        <f t="shared" ca="1" si="38"/>
        <v>0</v>
      </c>
      <c r="AL32" s="209">
        <f t="shared" ca="1" si="38"/>
        <v>25</v>
      </c>
      <c r="AM32" s="209">
        <f t="shared" ca="1" si="38"/>
        <v>0</v>
      </c>
      <c r="AN32" s="209">
        <f t="shared" ca="1" si="38"/>
        <v>0</v>
      </c>
      <c r="AO32" s="209">
        <f t="shared" ca="1" si="38"/>
        <v>0</v>
      </c>
      <c r="AP32" s="209">
        <f t="shared" ca="1" si="38"/>
        <v>0</v>
      </c>
      <c r="AQ32" s="209">
        <f t="shared" ca="1" si="38"/>
        <v>0</v>
      </c>
      <c r="AR32" s="209">
        <f t="shared" ca="1" si="38"/>
        <v>25</v>
      </c>
      <c r="AS32" s="209">
        <f t="shared" ca="1" si="38"/>
        <v>0</v>
      </c>
      <c r="AT32" s="209">
        <f t="shared" ca="1" si="38"/>
        <v>0</v>
      </c>
      <c r="AU32" s="209">
        <f t="shared" ca="1" si="38"/>
        <v>0</v>
      </c>
      <c r="AV32" s="209">
        <f t="shared" ca="1" si="38"/>
        <v>0</v>
      </c>
      <c r="AW32" s="209">
        <f t="shared" ca="1" si="38"/>
        <v>0</v>
      </c>
      <c r="AX32" s="209">
        <f t="shared" ca="1" si="38"/>
        <v>25</v>
      </c>
      <c r="AY32" s="209">
        <f t="shared" ca="1" si="38"/>
        <v>0</v>
      </c>
      <c r="AZ32" s="209">
        <f t="shared" ca="1" si="38"/>
        <v>0</v>
      </c>
      <c r="BA32" s="209">
        <f t="shared" ca="1" si="38"/>
        <v>0</v>
      </c>
      <c r="BB32" s="209">
        <f t="shared" ca="1" si="38"/>
        <v>0</v>
      </c>
      <c r="BC32" s="209">
        <f t="shared" ca="1" si="38"/>
        <v>0</v>
      </c>
      <c r="BD32" s="209">
        <f t="shared" ca="1" si="38"/>
        <v>25</v>
      </c>
      <c r="BE32" s="209">
        <f t="shared" ca="1" si="38"/>
        <v>0</v>
      </c>
      <c r="BF32" s="209">
        <f t="shared" ca="1" si="38"/>
        <v>0</v>
      </c>
      <c r="BG32" s="209">
        <f t="shared" ca="1" si="38"/>
        <v>0</v>
      </c>
    </row>
    <row r="33" spans="1:59" hidden="1">
      <c r="A33" s="264" t="s">
        <v>545</v>
      </c>
      <c r="B33" s="204"/>
      <c r="C33" s="204"/>
      <c r="D33" s="204"/>
      <c r="E33" s="204"/>
      <c r="F33" s="204"/>
      <c r="G33" s="327">
        <f ca="1">SUM(H33:BG33)</f>
        <v>0</v>
      </c>
      <c r="H33" s="209">
        <f ca="1">MAX(($C$55-H21)*H62,0)</f>
        <v>0</v>
      </c>
      <c r="I33" s="209">
        <f ca="1">MAX(($C$55-I21)*I62,0)</f>
        <v>0</v>
      </c>
      <c r="J33" s="209">
        <f t="shared" ref="J33:BG33" ca="1" si="39">MAX(($C$55-J21)*J62,0)</f>
        <v>0</v>
      </c>
      <c r="K33" s="209">
        <f t="shared" ca="1" si="39"/>
        <v>0</v>
      </c>
      <c r="L33" s="209">
        <f t="shared" ca="1" si="39"/>
        <v>0</v>
      </c>
      <c r="M33" s="209">
        <f t="shared" ca="1" si="39"/>
        <v>0</v>
      </c>
      <c r="N33" s="209">
        <f t="shared" ca="1" si="39"/>
        <v>0</v>
      </c>
      <c r="O33" s="209">
        <f t="shared" ca="1" si="39"/>
        <v>0</v>
      </c>
      <c r="P33" s="209">
        <f t="shared" ca="1" si="39"/>
        <v>0</v>
      </c>
      <c r="Q33" s="209">
        <f t="shared" ca="1" si="39"/>
        <v>0</v>
      </c>
      <c r="R33" s="209">
        <f t="shared" ca="1" si="39"/>
        <v>0</v>
      </c>
      <c r="S33" s="209">
        <f t="shared" ca="1" si="39"/>
        <v>0</v>
      </c>
      <c r="T33" s="209">
        <f t="shared" ca="1" si="39"/>
        <v>0</v>
      </c>
      <c r="U33" s="209">
        <f t="shared" ca="1" si="39"/>
        <v>0</v>
      </c>
      <c r="V33" s="209">
        <f t="shared" ca="1" si="39"/>
        <v>0</v>
      </c>
      <c r="W33" s="209">
        <f t="shared" ca="1" si="39"/>
        <v>0</v>
      </c>
      <c r="X33" s="209">
        <f t="shared" ca="1" si="39"/>
        <v>0</v>
      </c>
      <c r="Y33" s="209">
        <f t="shared" ca="1" si="39"/>
        <v>0</v>
      </c>
      <c r="Z33" s="209">
        <f t="shared" ca="1" si="39"/>
        <v>0</v>
      </c>
      <c r="AA33" s="209">
        <f t="shared" ca="1" si="39"/>
        <v>0</v>
      </c>
      <c r="AB33" s="209">
        <f t="shared" ca="1" si="39"/>
        <v>0</v>
      </c>
      <c r="AC33" s="209">
        <f t="shared" ca="1" si="39"/>
        <v>0</v>
      </c>
      <c r="AD33" s="209">
        <f t="shared" ca="1" si="39"/>
        <v>0</v>
      </c>
      <c r="AE33" s="209">
        <f t="shared" ca="1" si="39"/>
        <v>0</v>
      </c>
      <c r="AF33" s="209">
        <f t="shared" ca="1" si="39"/>
        <v>0</v>
      </c>
      <c r="AG33" s="209">
        <f t="shared" ca="1" si="39"/>
        <v>0</v>
      </c>
      <c r="AH33" s="209">
        <f t="shared" ca="1" si="39"/>
        <v>0</v>
      </c>
      <c r="AI33" s="209">
        <f t="shared" ca="1" si="39"/>
        <v>0</v>
      </c>
      <c r="AJ33" s="209">
        <f t="shared" ca="1" si="39"/>
        <v>0</v>
      </c>
      <c r="AK33" s="209">
        <f t="shared" ca="1" si="39"/>
        <v>0</v>
      </c>
      <c r="AL33" s="209">
        <f t="shared" ca="1" si="39"/>
        <v>0</v>
      </c>
      <c r="AM33" s="209">
        <f t="shared" ca="1" si="39"/>
        <v>0</v>
      </c>
      <c r="AN33" s="209">
        <f t="shared" ca="1" si="39"/>
        <v>0</v>
      </c>
      <c r="AO33" s="209">
        <f t="shared" ca="1" si="39"/>
        <v>0</v>
      </c>
      <c r="AP33" s="209">
        <f t="shared" ca="1" si="39"/>
        <v>0</v>
      </c>
      <c r="AQ33" s="209">
        <f t="shared" ca="1" si="39"/>
        <v>0</v>
      </c>
      <c r="AR33" s="209">
        <f t="shared" ca="1" si="39"/>
        <v>0</v>
      </c>
      <c r="AS33" s="209">
        <f t="shared" ca="1" si="39"/>
        <v>0</v>
      </c>
      <c r="AT33" s="209">
        <f t="shared" ca="1" si="39"/>
        <v>0</v>
      </c>
      <c r="AU33" s="209">
        <f t="shared" ca="1" si="39"/>
        <v>0</v>
      </c>
      <c r="AV33" s="209">
        <f t="shared" ca="1" si="39"/>
        <v>0</v>
      </c>
      <c r="AW33" s="209">
        <f t="shared" ca="1" si="39"/>
        <v>0</v>
      </c>
      <c r="AX33" s="209">
        <f t="shared" ca="1" si="39"/>
        <v>0</v>
      </c>
      <c r="AY33" s="209">
        <f t="shared" ca="1" si="39"/>
        <v>0</v>
      </c>
      <c r="AZ33" s="209">
        <f t="shared" ca="1" si="39"/>
        <v>0</v>
      </c>
      <c r="BA33" s="209">
        <f t="shared" ca="1" si="39"/>
        <v>0</v>
      </c>
      <c r="BB33" s="209">
        <f t="shared" ca="1" si="39"/>
        <v>0</v>
      </c>
      <c r="BC33" s="209">
        <f t="shared" ca="1" si="39"/>
        <v>0</v>
      </c>
      <c r="BD33" s="209">
        <f t="shared" ca="1" si="39"/>
        <v>0</v>
      </c>
      <c r="BE33" s="209">
        <f t="shared" ca="1" si="39"/>
        <v>0</v>
      </c>
      <c r="BF33" s="209">
        <f t="shared" ca="1" si="39"/>
        <v>0</v>
      </c>
      <c r="BG33" s="209">
        <f t="shared" ca="1" si="39"/>
        <v>0</v>
      </c>
    </row>
    <row r="34" spans="1:59" hidden="1">
      <c r="A34" s="264" t="s">
        <v>546</v>
      </c>
      <c r="B34" s="204"/>
      <c r="C34" s="204"/>
      <c r="D34" s="204"/>
      <c r="E34" s="204"/>
      <c r="F34" s="204"/>
      <c r="G34" s="327">
        <f ca="1">SUM(H34:BG34)</f>
        <v>10</v>
      </c>
      <c r="H34" s="209">
        <f ca="1">MAX(($C$56-H22)*H63,0)</f>
        <v>0</v>
      </c>
      <c r="I34" s="209">
        <f ca="1">MAX(($C$56-I22)*I62,0)</f>
        <v>1</v>
      </c>
      <c r="J34" s="209">
        <f t="shared" ref="J34:BG34" ca="1" si="40">MAX(($C$56-J22)*J62,0)</f>
        <v>1</v>
      </c>
      <c r="K34" s="209">
        <f t="shared" ca="1" si="40"/>
        <v>1</v>
      </c>
      <c r="L34" s="209">
        <f t="shared" ca="1" si="40"/>
        <v>1</v>
      </c>
      <c r="M34" s="209">
        <f t="shared" ca="1" si="40"/>
        <v>1</v>
      </c>
      <c r="N34" s="209">
        <f t="shared" ca="1" si="40"/>
        <v>1</v>
      </c>
      <c r="O34" s="209">
        <f t="shared" ca="1" si="40"/>
        <v>1</v>
      </c>
      <c r="P34" s="209">
        <f t="shared" ca="1" si="40"/>
        <v>1</v>
      </c>
      <c r="Q34" s="209">
        <f t="shared" ca="1" si="40"/>
        <v>1</v>
      </c>
      <c r="R34" s="209">
        <f t="shared" ca="1" si="40"/>
        <v>1</v>
      </c>
      <c r="S34" s="209">
        <f t="shared" ca="1" si="40"/>
        <v>0</v>
      </c>
      <c r="T34" s="209">
        <f t="shared" ca="1" si="40"/>
        <v>0</v>
      </c>
      <c r="U34" s="209">
        <f t="shared" ca="1" si="40"/>
        <v>0</v>
      </c>
      <c r="V34" s="209">
        <f t="shared" ca="1" si="40"/>
        <v>0</v>
      </c>
      <c r="W34" s="209">
        <f t="shared" ca="1" si="40"/>
        <v>0</v>
      </c>
      <c r="X34" s="209">
        <f t="shared" ca="1" si="40"/>
        <v>0</v>
      </c>
      <c r="Y34" s="209">
        <f t="shared" ca="1" si="40"/>
        <v>0</v>
      </c>
      <c r="Z34" s="209">
        <f t="shared" ca="1" si="40"/>
        <v>0</v>
      </c>
      <c r="AA34" s="209">
        <f t="shared" ca="1" si="40"/>
        <v>0</v>
      </c>
      <c r="AB34" s="209">
        <f t="shared" ca="1" si="40"/>
        <v>0</v>
      </c>
      <c r="AC34" s="209">
        <f t="shared" ca="1" si="40"/>
        <v>0</v>
      </c>
      <c r="AD34" s="209">
        <f t="shared" ca="1" si="40"/>
        <v>0</v>
      </c>
      <c r="AE34" s="209">
        <f t="shared" ca="1" si="40"/>
        <v>0</v>
      </c>
      <c r="AF34" s="209">
        <f t="shared" ca="1" si="40"/>
        <v>0</v>
      </c>
      <c r="AG34" s="209">
        <f t="shared" ca="1" si="40"/>
        <v>0</v>
      </c>
      <c r="AH34" s="209">
        <f t="shared" ca="1" si="40"/>
        <v>0</v>
      </c>
      <c r="AI34" s="209">
        <f t="shared" ca="1" si="40"/>
        <v>0</v>
      </c>
      <c r="AJ34" s="209">
        <f t="shared" ca="1" si="40"/>
        <v>0</v>
      </c>
      <c r="AK34" s="209">
        <f t="shared" ca="1" si="40"/>
        <v>0</v>
      </c>
      <c r="AL34" s="209">
        <f t="shared" ca="1" si="40"/>
        <v>0</v>
      </c>
      <c r="AM34" s="209">
        <f t="shared" ca="1" si="40"/>
        <v>0</v>
      </c>
      <c r="AN34" s="209">
        <f t="shared" ca="1" si="40"/>
        <v>0</v>
      </c>
      <c r="AO34" s="209">
        <f t="shared" ca="1" si="40"/>
        <v>0</v>
      </c>
      <c r="AP34" s="209">
        <f t="shared" ca="1" si="40"/>
        <v>0</v>
      </c>
      <c r="AQ34" s="209">
        <f t="shared" ca="1" si="40"/>
        <v>0</v>
      </c>
      <c r="AR34" s="209">
        <f t="shared" ca="1" si="40"/>
        <v>0</v>
      </c>
      <c r="AS34" s="209">
        <f t="shared" ca="1" si="40"/>
        <v>0</v>
      </c>
      <c r="AT34" s="209">
        <f t="shared" ca="1" si="40"/>
        <v>0</v>
      </c>
      <c r="AU34" s="209">
        <f t="shared" ca="1" si="40"/>
        <v>0</v>
      </c>
      <c r="AV34" s="209">
        <f t="shared" ca="1" si="40"/>
        <v>0</v>
      </c>
      <c r="AW34" s="209">
        <f t="shared" ca="1" si="40"/>
        <v>0</v>
      </c>
      <c r="AX34" s="209">
        <f t="shared" ca="1" si="40"/>
        <v>0</v>
      </c>
      <c r="AY34" s="209">
        <f t="shared" ca="1" si="40"/>
        <v>0</v>
      </c>
      <c r="AZ34" s="209">
        <f t="shared" ca="1" si="40"/>
        <v>0</v>
      </c>
      <c r="BA34" s="209">
        <f t="shared" ca="1" si="40"/>
        <v>0</v>
      </c>
      <c r="BB34" s="209">
        <f t="shared" ca="1" si="40"/>
        <v>0</v>
      </c>
      <c r="BC34" s="209">
        <f t="shared" ca="1" si="40"/>
        <v>0</v>
      </c>
      <c r="BD34" s="209">
        <f t="shared" ca="1" si="40"/>
        <v>0</v>
      </c>
      <c r="BE34" s="209">
        <f t="shared" ca="1" si="40"/>
        <v>0</v>
      </c>
      <c r="BF34" s="209">
        <f t="shared" ca="1" si="40"/>
        <v>0</v>
      </c>
      <c r="BG34" s="209">
        <f t="shared" ca="1" si="40"/>
        <v>0</v>
      </c>
    </row>
    <row r="35" spans="1:59" hidden="1">
      <c r="A35" s="298" t="s">
        <v>447</v>
      </c>
      <c r="B35" s="299"/>
      <c r="C35" s="299"/>
      <c r="D35" s="299"/>
      <c r="E35" s="299"/>
      <c r="F35" s="299"/>
      <c r="G35" s="299"/>
      <c r="H35" s="209"/>
      <c r="I35" s="209"/>
      <c r="J35" s="209"/>
      <c r="K35" s="209"/>
      <c r="L35" s="209"/>
      <c r="M35" s="209"/>
      <c r="N35" s="209"/>
      <c r="O35" s="209"/>
      <c r="P35" s="209"/>
      <c r="Q35" s="209"/>
      <c r="R35" s="209"/>
      <c r="S35" s="209"/>
      <c r="T35" s="209"/>
      <c r="U35" s="209"/>
      <c r="V35" s="209"/>
      <c r="W35" s="209"/>
      <c r="X35" s="209"/>
      <c r="Y35" s="209"/>
      <c r="Z35" s="209"/>
      <c r="AA35" s="209"/>
      <c r="AB35" s="209"/>
      <c r="AC35" s="209"/>
      <c r="AD35" s="209"/>
      <c r="AE35" s="209"/>
      <c r="AF35" s="209"/>
      <c r="AG35" s="209"/>
      <c r="AH35" s="209"/>
      <c r="AI35" s="209"/>
      <c r="AJ35" s="209"/>
      <c r="AK35" s="209"/>
      <c r="AL35" s="209"/>
      <c r="AM35" s="209"/>
      <c r="AN35" s="209"/>
      <c r="AO35" s="209"/>
      <c r="AP35" s="209"/>
      <c r="AQ35" s="209"/>
      <c r="AR35" s="209"/>
      <c r="AS35" s="209"/>
      <c r="AT35" s="209"/>
      <c r="AU35" s="209"/>
      <c r="AV35" s="209"/>
      <c r="AW35" s="209"/>
      <c r="AX35" s="209"/>
      <c r="AY35" s="209"/>
      <c r="AZ35" s="209"/>
      <c r="BA35" s="209"/>
      <c r="BB35" s="209"/>
      <c r="BC35" s="209"/>
      <c r="BD35" s="209"/>
      <c r="BE35" s="209"/>
      <c r="BF35" s="209"/>
      <c r="BG35" s="209"/>
    </row>
    <row r="36" spans="1:59" hidden="1">
      <c r="A36" s="280" t="s">
        <v>455</v>
      </c>
      <c r="B36" s="281"/>
      <c r="C36" s="281"/>
      <c r="D36" s="281"/>
      <c r="E36" s="281"/>
      <c r="F36" s="281"/>
      <c r="G36" s="281"/>
      <c r="H36" s="209">
        <f t="shared" ref="H36:AM36" si="41">IF(OR(G61=1,G72=1),1,0)</f>
        <v>0</v>
      </c>
      <c r="I36" s="209">
        <f t="shared" ca="1" si="41"/>
        <v>0</v>
      </c>
      <c r="J36" s="209">
        <f t="shared" ca="1" si="41"/>
        <v>0</v>
      </c>
      <c r="K36" s="209">
        <f t="shared" ca="1" si="41"/>
        <v>0</v>
      </c>
      <c r="L36" s="209">
        <f t="shared" ca="1" si="41"/>
        <v>0</v>
      </c>
      <c r="M36" s="209">
        <f t="shared" ca="1" si="41"/>
        <v>0</v>
      </c>
      <c r="N36" s="209">
        <f t="shared" ca="1" si="41"/>
        <v>0</v>
      </c>
      <c r="O36" s="209">
        <f t="shared" ca="1" si="41"/>
        <v>0</v>
      </c>
      <c r="P36" s="209">
        <f t="shared" ca="1" si="41"/>
        <v>0</v>
      </c>
      <c r="Q36" s="209">
        <f t="shared" ca="1" si="41"/>
        <v>0</v>
      </c>
      <c r="R36" s="209">
        <f t="shared" ca="1" si="41"/>
        <v>0</v>
      </c>
      <c r="S36" s="209">
        <f t="shared" ca="1" si="41"/>
        <v>0</v>
      </c>
      <c r="T36" s="209">
        <f t="shared" ca="1" si="41"/>
        <v>1</v>
      </c>
      <c r="U36" s="209">
        <f t="shared" ca="1" si="41"/>
        <v>0</v>
      </c>
      <c r="V36" s="209">
        <f t="shared" ca="1" si="41"/>
        <v>0</v>
      </c>
      <c r="W36" s="209">
        <f t="shared" ca="1" si="41"/>
        <v>0</v>
      </c>
      <c r="X36" s="209">
        <f t="shared" ca="1" si="41"/>
        <v>0</v>
      </c>
      <c r="Y36" s="209">
        <f t="shared" ca="1" si="41"/>
        <v>0</v>
      </c>
      <c r="Z36" s="209">
        <f t="shared" ca="1" si="41"/>
        <v>0</v>
      </c>
      <c r="AA36" s="209">
        <f t="shared" ca="1" si="41"/>
        <v>0</v>
      </c>
      <c r="AB36" s="209">
        <f t="shared" ca="1" si="41"/>
        <v>0</v>
      </c>
      <c r="AC36" s="209">
        <f t="shared" ca="1" si="41"/>
        <v>0</v>
      </c>
      <c r="AD36" s="209">
        <f t="shared" ca="1" si="41"/>
        <v>0</v>
      </c>
      <c r="AE36" s="209">
        <f t="shared" ca="1" si="41"/>
        <v>0</v>
      </c>
      <c r="AF36" s="209">
        <f t="shared" ca="1" si="41"/>
        <v>0</v>
      </c>
      <c r="AG36" s="209">
        <f t="shared" ca="1" si="41"/>
        <v>0</v>
      </c>
      <c r="AH36" s="209">
        <f t="shared" ca="1" si="41"/>
        <v>0</v>
      </c>
      <c r="AI36" s="209">
        <f t="shared" ca="1" si="41"/>
        <v>0</v>
      </c>
      <c r="AJ36" s="209">
        <f t="shared" ca="1" si="41"/>
        <v>0</v>
      </c>
      <c r="AK36" s="209">
        <f t="shared" ca="1" si="41"/>
        <v>0</v>
      </c>
      <c r="AL36" s="209">
        <f t="shared" ca="1" si="41"/>
        <v>0</v>
      </c>
      <c r="AM36" s="209">
        <f t="shared" ca="1" si="41"/>
        <v>0</v>
      </c>
      <c r="AN36" s="209">
        <f t="shared" ref="AN36:BG36" ca="1" si="42">IF(OR(AM61=1,AM72=1),1,0)</f>
        <v>0</v>
      </c>
      <c r="AO36" s="209">
        <f t="shared" ca="1" si="42"/>
        <v>0</v>
      </c>
      <c r="AP36" s="209">
        <f t="shared" ca="1" si="42"/>
        <v>0</v>
      </c>
      <c r="AQ36" s="209">
        <f t="shared" ca="1" si="42"/>
        <v>0</v>
      </c>
      <c r="AR36" s="209">
        <f t="shared" ca="1" si="42"/>
        <v>0</v>
      </c>
      <c r="AS36" s="209">
        <f t="shared" ca="1" si="42"/>
        <v>0</v>
      </c>
      <c r="AT36" s="209">
        <f t="shared" ca="1" si="42"/>
        <v>0</v>
      </c>
      <c r="AU36" s="209">
        <f t="shared" ca="1" si="42"/>
        <v>0</v>
      </c>
      <c r="AV36" s="209">
        <f t="shared" ca="1" si="42"/>
        <v>0</v>
      </c>
      <c r="AW36" s="209">
        <f t="shared" ca="1" si="42"/>
        <v>0</v>
      </c>
      <c r="AX36" s="209">
        <f t="shared" ca="1" si="42"/>
        <v>0</v>
      </c>
      <c r="AY36" s="209">
        <f t="shared" ca="1" si="42"/>
        <v>0</v>
      </c>
      <c r="AZ36" s="209">
        <f t="shared" ca="1" si="42"/>
        <v>0</v>
      </c>
      <c r="BA36" s="209">
        <f t="shared" ca="1" si="42"/>
        <v>0</v>
      </c>
      <c r="BB36" s="209">
        <f t="shared" ca="1" si="42"/>
        <v>0</v>
      </c>
      <c r="BC36" s="209">
        <f t="shared" ca="1" si="42"/>
        <v>0</v>
      </c>
      <c r="BD36" s="209">
        <f t="shared" ca="1" si="42"/>
        <v>0</v>
      </c>
      <c r="BE36" s="209">
        <f t="shared" ca="1" si="42"/>
        <v>0</v>
      </c>
      <c r="BF36" s="209">
        <f t="shared" ca="1" si="42"/>
        <v>0</v>
      </c>
      <c r="BG36" s="209">
        <f t="shared" ca="1" si="42"/>
        <v>0</v>
      </c>
    </row>
    <row r="37" spans="1:59" hidden="1">
      <c r="A37" s="280" t="s">
        <v>565</v>
      </c>
      <c r="B37" s="281"/>
      <c r="C37" s="281"/>
      <c r="D37" s="281"/>
      <c r="E37" s="281"/>
      <c r="F37" s="281"/>
      <c r="G37" s="281"/>
      <c r="H37" s="209" cm="1">
        <f t="array" aca="1" ref="H37" ca="1">IFERROR(_xlfn.XLOOKUP($C$41,OFFSET(H$49,0,-$C$41):H$49,OFFSET(H$40,0,-$C$41):H$40,0),0)</f>
        <v>0</v>
      </c>
      <c r="I37" s="209" cm="1">
        <f t="array" aca="1" ref="I37" ca="1">IFERROR(_xlfn.XLOOKUP($C$41,OFFSET(I$49,0,-$C$41):I$49,OFFSET(I$40,0,-$C$41):I$40,0),0)</f>
        <v>0</v>
      </c>
      <c r="J37" s="209" cm="1">
        <f t="array" aca="1" ref="J37" ca="1">IFERROR(_xlfn.XLOOKUP($C$41,OFFSET(J$49,0,-$C$41):J$49,OFFSET(J$40,0,-$C$41):J$40,0),0)</f>
        <v>0</v>
      </c>
      <c r="K37" s="209" cm="1">
        <f t="array" aca="1" ref="K37" ca="1">IFERROR(_xlfn.XLOOKUP($C$41,OFFSET(K$49,0,-$C$41):K$49,OFFSET(K$40,0,-$C$41):K$40,0),0)</f>
        <v>0</v>
      </c>
      <c r="L37" s="209" cm="1">
        <f t="array" aca="1" ref="L37" ca="1">IFERROR(_xlfn.XLOOKUP($C$41,OFFSET(L$49,0,-$C$41):L$49,OFFSET(L$40,0,-$C$41):L$40,0),0)</f>
        <v>0</v>
      </c>
      <c r="M37" s="209" cm="1">
        <f t="array" aca="1" ref="M37" ca="1">IFERROR(_xlfn.XLOOKUP($C$41,OFFSET(M$49,0,-$C$41):M$49,OFFSET(M$40,0,-$C$41):M$40,0),0)</f>
        <v>0</v>
      </c>
      <c r="N37" s="209" cm="1">
        <f t="array" aca="1" ref="N37" ca="1">IFERROR(_xlfn.XLOOKUP($C$41,OFFSET(N$49,0,-$C$41):N$49,OFFSET(N$40,0,-$C$41):N$40,0),0)</f>
        <v>0</v>
      </c>
      <c r="O37" s="209" cm="1">
        <f t="array" aca="1" ref="O37" ca="1">IFERROR(_xlfn.XLOOKUP($C$41,OFFSET(O$49,0,-$C$41):O$49,OFFSET(O$40,0,-$C$41):O$40,0),0)</f>
        <v>0</v>
      </c>
      <c r="P37" s="209" cm="1">
        <f t="array" aca="1" ref="P37" ca="1">IFERROR(_xlfn.XLOOKUP($C$41,OFFSET(P$49,0,-$C$41):P$49,OFFSET(P$40,0,-$C$41):P$40,0),0)</f>
        <v>0</v>
      </c>
      <c r="Q37" s="209" cm="1">
        <f t="array" aca="1" ref="Q37" ca="1">IFERROR(_xlfn.XLOOKUP($C$41,OFFSET(Q$49,0,-$C$41):Q$49,OFFSET(Q$40,0,-$C$41):Q$40,0),0)</f>
        <v>0</v>
      </c>
      <c r="R37" s="209" cm="1">
        <f t="array" aca="1" ref="R37" ca="1">IFERROR(_xlfn.XLOOKUP($C$41,OFFSET(R$49,0,-$C$41):R$49,OFFSET(R$40,0,-$C$41):R$40,0),0)</f>
        <v>0</v>
      </c>
      <c r="S37" s="209" cm="1">
        <f t="array" aca="1" ref="S37" ca="1">IFERROR(_xlfn.XLOOKUP($C$41,OFFSET(S$49,0,-$C$41):S$49,OFFSET(S$40,0,-$C$41):S$40,0),0)</f>
        <v>0</v>
      </c>
      <c r="T37" s="209" cm="1">
        <f t="array" aca="1" ref="T37" ca="1">IFERROR(_xlfn.XLOOKUP($C$41,OFFSET(T$49,0,-$C$41):T$49,OFFSET(T$40,0,-$C$41):T$40,0),0)</f>
        <v>0</v>
      </c>
      <c r="U37" s="209" cm="1">
        <f t="array" aca="1" ref="U37" ca="1">IFERROR(_xlfn.XLOOKUP($C$41,OFFSET(U$49,0,-$C$41):U$49,OFFSET(U$40,0,-$C$41):U$40,0),0)</f>
        <v>0</v>
      </c>
      <c r="V37" s="209" cm="1">
        <f t="array" aca="1" ref="V37" ca="1">IFERROR(_xlfn.XLOOKUP($C$41,OFFSET(V$49,0,-$C$41):V$49,OFFSET(V$40,0,-$C$41):V$40,0),0)</f>
        <v>68</v>
      </c>
      <c r="W37" s="209" cm="1">
        <f t="array" aca="1" ref="W37" ca="1">IFERROR(_xlfn.XLOOKUP($C$41,OFFSET(W$49,0,-$C$41):W$49,OFFSET(W$40,0,-$C$41):W$40,0),0)</f>
        <v>68</v>
      </c>
      <c r="X37" s="209" cm="1">
        <f t="array" aca="1" ref="X37" ca="1">IFERROR(_xlfn.XLOOKUP($C$41,OFFSET(X$49,0,-$C$41):X$49,OFFSET(X$40,0,-$C$41):X$40,0),0)</f>
        <v>68</v>
      </c>
      <c r="Y37" s="209" cm="1">
        <f t="array" aca="1" ref="Y37" ca="1">IFERROR(_xlfn.XLOOKUP($C$41,OFFSET(Y$49,0,-$C$41):Y$49,OFFSET(Y$40,0,-$C$41):Y$40,0),0)</f>
        <v>68</v>
      </c>
      <c r="Z37" s="209" cm="1">
        <f t="array" aca="1" ref="Z37" ca="1">IFERROR(_xlfn.XLOOKUP($C$41,OFFSET(Z$49,0,-$C$41):Z$49,OFFSET(Z$40,0,-$C$41):Z$40,0),0)</f>
        <v>0</v>
      </c>
      <c r="AA37" s="209" cm="1">
        <f t="array" aca="1" ref="AA37" ca="1">IFERROR(_xlfn.XLOOKUP($C$41,OFFSET(AA$49,0,-$C$41):AA$49,OFFSET(AA$40,0,-$C$41):AA$40,0),0)</f>
        <v>0</v>
      </c>
      <c r="AB37" s="209" cm="1">
        <f t="array" aca="1" ref="AB37" ca="1">IFERROR(_xlfn.XLOOKUP($C$41,OFFSET(AB$49,0,-$C$41):AB$49,OFFSET(AB$40,0,-$C$41):AB$40,0),0)</f>
        <v>68</v>
      </c>
      <c r="AC37" s="209" cm="1">
        <f t="array" aca="1" ref="AC37" ca="1">IFERROR(_xlfn.XLOOKUP($C$41,OFFSET(AC$49,0,-$C$41):AC$49,OFFSET(AC$40,0,-$C$41):AC$40,0),0)</f>
        <v>68</v>
      </c>
      <c r="AD37" s="209" cm="1">
        <f t="array" aca="1" ref="AD37" ca="1">IFERROR(_xlfn.XLOOKUP($C$41,OFFSET(AD$49,0,-$C$41):AD$49,OFFSET(AD$40,0,-$C$41):AD$40,0),0)</f>
        <v>68</v>
      </c>
      <c r="AE37" s="209" cm="1">
        <f t="array" aca="1" ref="AE37" ca="1">IFERROR(_xlfn.XLOOKUP($C$41,OFFSET(AE$49,0,-$C$41):AE$49,OFFSET(AE$40,0,-$C$41):AE$40,0),0)</f>
        <v>68</v>
      </c>
      <c r="AF37" s="209" cm="1">
        <f t="array" aca="1" ref="AF37" ca="1">IFERROR(_xlfn.XLOOKUP($C$41,OFFSET(AF$49,0,-$C$41):AF$49,OFFSET(AF$40,0,-$C$41):AF$40,0),0)</f>
        <v>0</v>
      </c>
      <c r="AG37" s="209" cm="1">
        <f t="array" aca="1" ref="AG37" ca="1">IFERROR(_xlfn.XLOOKUP($C$41,OFFSET(AG$49,0,-$C$41):AG$49,OFFSET(AG$40,0,-$C$41):AG$40,0),0)</f>
        <v>0</v>
      </c>
      <c r="AH37" s="209" cm="1">
        <f t="array" aca="1" ref="AH37" ca="1">IFERROR(_xlfn.XLOOKUP($C$41,OFFSET(AH$49,0,-$C$41):AH$49,OFFSET(AH$40,0,-$C$41):AH$40,0),0)</f>
        <v>68</v>
      </c>
      <c r="AI37" s="209" cm="1">
        <f t="array" aca="1" ref="AI37" ca="1">IFERROR(_xlfn.XLOOKUP($C$41,OFFSET(AI$49,0,-$C$41):AI$49,OFFSET(AI$40,0,-$C$41):AI$40,0),0)</f>
        <v>68</v>
      </c>
      <c r="AJ37" s="209" cm="1">
        <f t="array" aca="1" ref="AJ37" ca="1">IFERROR(_xlfn.XLOOKUP($C$41,OFFSET(AJ$49,0,-$C$41):AJ$49,OFFSET(AJ$40,0,-$C$41):AJ$40,0),0)</f>
        <v>68</v>
      </c>
      <c r="AK37" s="209" cm="1">
        <f t="array" aca="1" ref="AK37" ca="1">IFERROR(_xlfn.XLOOKUP($C$41,OFFSET(AK$49,0,-$C$41):AK$49,OFFSET(AK$40,0,-$C$41):AK$40,0),0)</f>
        <v>68</v>
      </c>
      <c r="AL37" s="209" cm="1">
        <f t="array" aca="1" ref="AL37" ca="1">IFERROR(_xlfn.XLOOKUP($C$41,OFFSET(AL$49,0,-$C$41):AL$49,OFFSET(AL$40,0,-$C$41):AL$40,0),0)</f>
        <v>0</v>
      </c>
      <c r="AM37" s="209" cm="1">
        <f t="array" aca="1" ref="AM37" ca="1">IFERROR(_xlfn.XLOOKUP($C$41,OFFSET(AM$49,0,-$C$41):AM$49,OFFSET(AM$40,0,-$C$41):AM$40,0),0)</f>
        <v>0</v>
      </c>
      <c r="AN37" s="209" cm="1">
        <f t="array" aca="1" ref="AN37" ca="1">IFERROR(_xlfn.XLOOKUP($C$41,OFFSET(AN$49,0,-$C$41):AN$49,OFFSET(AN$40,0,-$C$41):AN$40,0),0)</f>
        <v>68</v>
      </c>
      <c r="AO37" s="209" cm="1">
        <f t="array" aca="1" ref="AO37" ca="1">IFERROR(_xlfn.XLOOKUP($C$41,OFFSET(AO$49,0,-$C$41):AO$49,OFFSET(AO$40,0,-$C$41):AO$40,0),0)</f>
        <v>68</v>
      </c>
      <c r="AP37" s="209" cm="1">
        <f t="array" aca="1" ref="AP37" ca="1">IFERROR(_xlfn.XLOOKUP($C$41,OFFSET(AP$49,0,-$C$41):AP$49,OFFSET(AP$40,0,-$C$41):AP$40,0),0)</f>
        <v>68</v>
      </c>
      <c r="AQ37" s="209" cm="1">
        <f t="array" aca="1" ref="AQ37" ca="1">IFERROR(_xlfn.XLOOKUP($C$41,OFFSET(AQ$49,0,-$C$41):AQ$49,OFFSET(AQ$40,0,-$C$41):AQ$40,0),0)</f>
        <v>68</v>
      </c>
      <c r="AR37" s="209" cm="1">
        <f t="array" aca="1" ref="AR37" ca="1">IFERROR(_xlfn.XLOOKUP($C$41,OFFSET(AR$49,0,-$C$41):AR$49,OFFSET(AR$40,0,-$C$41):AR$40,0),0)</f>
        <v>0</v>
      </c>
      <c r="AS37" s="209" cm="1">
        <f t="array" aca="1" ref="AS37" ca="1">IFERROR(_xlfn.XLOOKUP($C$41,OFFSET(AS$49,0,-$C$41):AS$49,OFFSET(AS$40,0,-$C$41):AS$40,0),0)</f>
        <v>0</v>
      </c>
      <c r="AT37" s="209" cm="1">
        <f t="array" aca="1" ref="AT37" ca="1">IFERROR(_xlfn.XLOOKUP($C$41,OFFSET(AT$49,0,-$C$41):AT$49,OFFSET(AT$40,0,-$C$41):AT$40,0),0)</f>
        <v>68</v>
      </c>
      <c r="AU37" s="209" cm="1">
        <f t="array" aca="1" ref="AU37" ca="1">IFERROR(_xlfn.XLOOKUP($C$41,OFFSET(AU$49,0,-$C$41):AU$49,OFFSET(AU$40,0,-$C$41):AU$40,0),0)</f>
        <v>68</v>
      </c>
      <c r="AV37" s="209" cm="1">
        <f t="array" aca="1" ref="AV37" ca="1">IFERROR(_xlfn.XLOOKUP($C$41,OFFSET(AV$49,0,-$C$41):AV$49,OFFSET(AV$40,0,-$C$41):AV$40,0),0)</f>
        <v>68</v>
      </c>
      <c r="AW37" s="209" cm="1">
        <f t="array" aca="1" ref="AW37" ca="1">IFERROR(_xlfn.XLOOKUP($C$41,OFFSET(AW$49,0,-$C$41):AW$49,OFFSET(AW$40,0,-$C$41):AW$40,0),0)</f>
        <v>68</v>
      </c>
      <c r="AX37" s="209" cm="1">
        <f t="array" aca="1" ref="AX37" ca="1">IFERROR(_xlfn.XLOOKUP($C$41,OFFSET(AX$49,0,-$C$41):AX$49,OFFSET(AX$40,0,-$C$41):AX$40,0),0)</f>
        <v>0</v>
      </c>
      <c r="AY37" s="209" cm="1">
        <f t="array" aca="1" ref="AY37" ca="1">IFERROR(_xlfn.XLOOKUP($C$41,OFFSET(AY$49,0,-$C$41):AY$49,OFFSET(AY$40,0,-$C$41):AY$40,0),0)</f>
        <v>0</v>
      </c>
      <c r="AZ37" s="209" cm="1">
        <f t="array" aca="1" ref="AZ37" ca="1">IFERROR(_xlfn.XLOOKUP($C$41,OFFSET(AZ$49,0,-$C$41):AZ$49,OFFSET(AZ$40,0,-$C$41):AZ$40,0),0)</f>
        <v>68</v>
      </c>
      <c r="BA37" s="209" cm="1">
        <f t="array" aca="1" ref="BA37" ca="1">IFERROR(_xlfn.XLOOKUP($C$41,OFFSET(BA$49,0,-$C$41):BA$49,OFFSET(BA$40,0,-$C$41):BA$40,0),0)</f>
        <v>68</v>
      </c>
      <c r="BB37" s="209" cm="1">
        <f t="array" aca="1" ref="BB37" ca="1">IFERROR(_xlfn.XLOOKUP($C$41,OFFSET(BB$49,0,-$C$41):BB$49,OFFSET(BB$40,0,-$C$41):BB$40,0),0)</f>
        <v>68</v>
      </c>
      <c r="BC37" s="209" cm="1">
        <f t="array" aca="1" ref="BC37" ca="1">IFERROR(_xlfn.XLOOKUP($C$41,OFFSET(BC$49,0,-$C$41):BC$49,OFFSET(BC$40,0,-$C$41):BC$40,0),0)</f>
        <v>68</v>
      </c>
      <c r="BD37" s="209" cm="1">
        <f t="array" aca="1" ref="BD37" ca="1">IFERROR(_xlfn.XLOOKUP($C$41,OFFSET(BD$49,0,-$C$41):BD$49,OFFSET(BD$40,0,-$C$41):BD$40,0),0)</f>
        <v>0</v>
      </c>
      <c r="BE37" s="209" cm="1">
        <f t="array" aca="1" ref="BE37" ca="1">IFERROR(_xlfn.XLOOKUP($C$41,OFFSET(BE$49,0,-$C$41):BE$49,OFFSET(BE$40,0,-$C$41):BE$40,0),0)</f>
        <v>0</v>
      </c>
      <c r="BF37" s="209" cm="1">
        <f t="array" aca="1" ref="BF37" ca="1">IFERROR(_xlfn.XLOOKUP($C$41,OFFSET(BF$49,0,-$C$41):BF$49,OFFSET(BF$40,0,-$C$41):BF$40,0),0)</f>
        <v>0</v>
      </c>
      <c r="BG37" s="209" cm="1">
        <f t="array" aca="1" ref="BG37" ca="1">IFERROR(_xlfn.XLOOKUP($C$41,OFFSET(BG$49,0,-$C$41):BG$49,OFFSET(BG$40,0,-$C$41):BG$40,0),0)</f>
        <v>0</v>
      </c>
    </row>
    <row r="38" spans="1:59" hidden="1">
      <c r="A38" s="280"/>
      <c r="B38" s="281"/>
      <c r="C38" s="281"/>
      <c r="D38" s="281"/>
      <c r="E38" s="281"/>
      <c r="F38" s="281"/>
      <c r="G38" s="281"/>
      <c r="H38" s="209"/>
      <c r="I38" s="209"/>
      <c r="J38" s="209"/>
      <c r="K38" s="209"/>
      <c r="L38" s="209"/>
      <c r="M38" s="209"/>
      <c r="N38" s="209"/>
      <c r="O38" s="209"/>
      <c r="P38" s="209"/>
      <c r="Q38" s="209"/>
      <c r="R38" s="209"/>
      <c r="S38" s="209"/>
      <c r="T38" s="209"/>
      <c r="U38" s="209"/>
      <c r="V38" s="209"/>
      <c r="W38" s="209"/>
      <c r="X38" s="209"/>
      <c r="Y38" s="209"/>
      <c r="Z38" s="209"/>
      <c r="AA38" s="209"/>
      <c r="AB38" s="209"/>
      <c r="AC38" s="209"/>
      <c r="AD38" s="209"/>
      <c r="AE38" s="209"/>
      <c r="AF38" s="209"/>
      <c r="AG38" s="209"/>
      <c r="AH38" s="209"/>
      <c r="AI38" s="209"/>
      <c r="AJ38" s="209"/>
      <c r="AK38" s="209"/>
      <c r="AL38" s="209"/>
      <c r="AM38" s="209"/>
      <c r="AN38" s="209"/>
      <c r="AO38" s="209"/>
      <c r="AP38" s="209"/>
      <c r="AQ38" s="209"/>
      <c r="AR38" s="209"/>
      <c r="AS38" s="209"/>
      <c r="AT38" s="209"/>
      <c r="AU38" s="209"/>
      <c r="AV38" s="209"/>
      <c r="AW38" s="209"/>
      <c r="AX38" s="209"/>
      <c r="AY38" s="209"/>
      <c r="AZ38" s="209"/>
      <c r="BA38" s="209"/>
      <c r="BB38" s="209"/>
      <c r="BC38" s="209"/>
      <c r="BD38" s="209"/>
      <c r="BE38" s="209"/>
      <c r="BF38" s="209"/>
      <c r="BG38" s="209"/>
    </row>
    <row r="39" spans="1:59" hidden="1">
      <c r="A39" s="185" t="s">
        <v>529</v>
      </c>
      <c r="B39" s="189"/>
      <c r="C39" s="189"/>
      <c r="D39" s="189"/>
      <c r="E39" s="189"/>
      <c r="F39" s="189"/>
      <c r="G39" s="294"/>
      <c r="H39" s="209"/>
      <c r="I39" s="209"/>
      <c r="J39" s="209"/>
      <c r="K39" s="209"/>
      <c r="L39" s="209"/>
      <c r="M39" s="209"/>
      <c r="N39" s="209"/>
      <c r="O39" s="209"/>
      <c r="P39" s="209"/>
      <c r="Q39" s="209"/>
      <c r="R39" s="209"/>
      <c r="S39" s="209"/>
      <c r="T39" s="209"/>
      <c r="U39" s="209"/>
      <c r="V39" s="209"/>
      <c r="W39" s="209"/>
      <c r="X39" s="209"/>
      <c r="Y39" s="209"/>
      <c r="Z39" s="209"/>
      <c r="AA39" s="209"/>
      <c r="AB39" s="209"/>
      <c r="AC39" s="209"/>
      <c r="AD39" s="209"/>
      <c r="AE39" s="209"/>
      <c r="AF39" s="209"/>
      <c r="AG39" s="209"/>
      <c r="AH39" s="209"/>
      <c r="AI39" s="209"/>
      <c r="AJ39" s="209"/>
      <c r="AK39" s="209"/>
      <c r="AL39" s="209"/>
      <c r="AM39" s="209"/>
      <c r="AN39" s="209"/>
      <c r="AO39" s="209"/>
      <c r="AP39" s="209"/>
      <c r="AQ39" s="209"/>
      <c r="AR39" s="209"/>
      <c r="AS39" s="209"/>
      <c r="AT39" s="209"/>
      <c r="AU39" s="209"/>
      <c r="AV39" s="209"/>
      <c r="AW39" s="209"/>
      <c r="AX39" s="209"/>
      <c r="AY39" s="209"/>
      <c r="AZ39" s="209"/>
      <c r="BA39" s="209"/>
      <c r="BB39" s="209"/>
      <c r="BC39" s="209"/>
      <c r="BD39" s="209"/>
      <c r="BE39" s="209"/>
      <c r="BF39" s="209"/>
      <c r="BG39" s="209"/>
    </row>
    <row r="40" spans="1:59" hidden="1">
      <c r="A40" s="280" t="s">
        <v>531</v>
      </c>
      <c r="B40" s="281" t="s">
        <v>533</v>
      </c>
      <c r="C40" s="281">
        <f>C41+2</f>
        <v>5</v>
      </c>
      <c r="D40" s="281"/>
      <c r="E40" s="281" t="s">
        <v>639</v>
      </c>
      <c r="F40" s="281" t="str">
        <f>IF('Helper Sheet'!D3&gt;'Helper Sheet'!D4,'Cash Flow Analysis'!C12,'IS Analysis'!C12)</f>
        <v>Most Likely Case</v>
      </c>
      <c r="G40" s="281"/>
      <c r="H40" s="209">
        <f ca="1">$J$5-H19-H21-H24-H23</f>
        <v>0</v>
      </c>
      <c r="I40" s="209">
        <f ca="1">$J$5-I19-I21-I24-I23</f>
        <v>0</v>
      </c>
      <c r="J40" s="209">
        <f t="shared" ref="I40:AM40" ca="1" si="43">$J$5-J19-J21-J24-J23</f>
        <v>0</v>
      </c>
      <c r="K40" s="209">
        <f t="shared" ca="1" si="43"/>
        <v>0</v>
      </c>
      <c r="L40" s="209">
        <f t="shared" ca="1" si="43"/>
        <v>0</v>
      </c>
      <c r="M40" s="209">
        <f t="shared" ca="1" si="43"/>
        <v>0</v>
      </c>
      <c r="N40" s="209">
        <f t="shared" ca="1" si="43"/>
        <v>0</v>
      </c>
      <c r="O40" s="209">
        <f t="shared" ca="1" si="43"/>
        <v>0</v>
      </c>
      <c r="P40" s="209">
        <f t="shared" ca="1" si="43"/>
        <v>0</v>
      </c>
      <c r="Q40" s="209">
        <f t="shared" ca="1" si="43"/>
        <v>0</v>
      </c>
      <c r="R40" s="209">
        <f t="shared" ca="1" si="43"/>
        <v>0</v>
      </c>
      <c r="S40" s="209">
        <f t="shared" ca="1" si="43"/>
        <v>0</v>
      </c>
      <c r="T40" s="209">
        <f t="shared" ca="1" si="43"/>
        <v>0</v>
      </c>
      <c r="U40" s="209">
        <f t="shared" ca="1" si="43"/>
        <v>68</v>
      </c>
      <c r="V40" s="209">
        <f t="shared" ca="1" si="43"/>
        <v>68</v>
      </c>
      <c r="W40" s="209">
        <f t="shared" ca="1" si="43"/>
        <v>68</v>
      </c>
      <c r="X40" s="209">
        <f t="shared" ca="1" si="43"/>
        <v>68</v>
      </c>
      <c r="Y40" s="209">
        <f t="shared" ca="1" si="43"/>
        <v>68</v>
      </c>
      <c r="Z40" s="209">
        <f t="shared" ca="1" si="43"/>
        <v>68</v>
      </c>
      <c r="AA40" s="209">
        <f t="shared" ca="1" si="43"/>
        <v>68</v>
      </c>
      <c r="AB40" s="209">
        <f t="shared" ca="1" si="43"/>
        <v>68</v>
      </c>
      <c r="AC40" s="209">
        <f t="shared" ca="1" si="43"/>
        <v>68</v>
      </c>
      <c r="AD40" s="209">
        <f t="shared" ca="1" si="43"/>
        <v>68</v>
      </c>
      <c r="AE40" s="209">
        <f t="shared" ca="1" si="43"/>
        <v>68</v>
      </c>
      <c r="AF40" s="209">
        <f t="shared" ca="1" si="43"/>
        <v>68</v>
      </c>
      <c r="AG40" s="209">
        <f t="shared" ca="1" si="43"/>
        <v>68</v>
      </c>
      <c r="AH40" s="209">
        <f t="shared" ca="1" si="43"/>
        <v>68</v>
      </c>
      <c r="AI40" s="209">
        <f t="shared" ca="1" si="43"/>
        <v>68</v>
      </c>
      <c r="AJ40" s="209">
        <f t="shared" ca="1" si="43"/>
        <v>68</v>
      </c>
      <c r="AK40" s="209">
        <f t="shared" ca="1" si="43"/>
        <v>68</v>
      </c>
      <c r="AL40" s="209">
        <f t="shared" ca="1" si="43"/>
        <v>68</v>
      </c>
      <c r="AM40" s="209">
        <f t="shared" ca="1" si="43"/>
        <v>68</v>
      </c>
      <c r="AN40" s="209">
        <f t="shared" ref="AN40:BG40" ca="1" si="44">$J$5-AN19-AN21-AN24-AN23</f>
        <v>68</v>
      </c>
      <c r="AO40" s="209">
        <f t="shared" ca="1" si="44"/>
        <v>68</v>
      </c>
      <c r="AP40" s="209">
        <f t="shared" ca="1" si="44"/>
        <v>68</v>
      </c>
      <c r="AQ40" s="209">
        <f t="shared" ca="1" si="44"/>
        <v>68</v>
      </c>
      <c r="AR40" s="209">
        <f t="shared" ca="1" si="44"/>
        <v>68</v>
      </c>
      <c r="AS40" s="209">
        <f t="shared" ca="1" si="44"/>
        <v>68</v>
      </c>
      <c r="AT40" s="209">
        <f t="shared" ca="1" si="44"/>
        <v>68</v>
      </c>
      <c r="AU40" s="209">
        <f t="shared" ca="1" si="44"/>
        <v>68</v>
      </c>
      <c r="AV40" s="209">
        <f t="shared" ca="1" si="44"/>
        <v>68</v>
      </c>
      <c r="AW40" s="209">
        <f t="shared" ca="1" si="44"/>
        <v>68</v>
      </c>
      <c r="AX40" s="209">
        <f t="shared" ca="1" si="44"/>
        <v>68</v>
      </c>
      <c r="AY40" s="209">
        <f t="shared" ca="1" si="44"/>
        <v>68</v>
      </c>
      <c r="AZ40" s="209">
        <f t="shared" ca="1" si="44"/>
        <v>68</v>
      </c>
      <c r="BA40" s="209">
        <f t="shared" ca="1" si="44"/>
        <v>68</v>
      </c>
      <c r="BB40" s="209">
        <f t="shared" ca="1" si="44"/>
        <v>68</v>
      </c>
      <c r="BC40" s="209">
        <f t="shared" ca="1" si="44"/>
        <v>68</v>
      </c>
      <c r="BD40" s="209">
        <f t="shared" ca="1" si="44"/>
        <v>68</v>
      </c>
      <c r="BE40" s="209">
        <f t="shared" ca="1" si="44"/>
        <v>68</v>
      </c>
      <c r="BF40" s="209">
        <f t="shared" ca="1" si="44"/>
        <v>68</v>
      </c>
      <c r="BG40" s="209">
        <f t="shared" ca="1" si="44"/>
        <v>68</v>
      </c>
    </row>
    <row r="41" spans="1:59" ht="15.75" hidden="1">
      <c r="A41" s="280" t="s">
        <v>532</v>
      </c>
      <c r="B41" s="281" t="s">
        <v>662</v>
      </c>
      <c r="C41" s="458">
        <f>INDEX(Assumptions!$A$6:$D$58,MATCH(B41,Assumptions!$A$6:$A$58,0),MATCH($F$40,Assumptions!$A$6:$D$6,0))</f>
        <v>3</v>
      </c>
      <c r="D41" s="281"/>
      <c r="E41" s="451" t="s">
        <v>655</v>
      </c>
      <c r="F41" s="281">
        <f>IF(INDEX(Assumptions!$A$6:$D$58,MATCH(E41,Assumptions!$A$6:$A$58,0),MATCH($F$40,Assumptions!$A$6:$D$6,0))="No",0,1)</f>
        <v>0</v>
      </c>
      <c r="G41" s="281"/>
      <c r="H41" s="209">
        <f ca="1">($J$4-H20-H22-H25)*$F$41</f>
        <v>0</v>
      </c>
      <c r="I41" s="209">
        <f t="shared" ref="I41:BG41" ca="1" si="45">($J$4-I20-I22-I25)*$F$41</f>
        <v>0</v>
      </c>
      <c r="J41" s="209">
        <f t="shared" ca="1" si="45"/>
        <v>0</v>
      </c>
      <c r="K41" s="209">
        <f t="shared" ca="1" si="45"/>
        <v>0</v>
      </c>
      <c r="L41" s="209">
        <f t="shared" ca="1" si="45"/>
        <v>0</v>
      </c>
      <c r="M41" s="209">
        <f t="shared" ca="1" si="45"/>
        <v>0</v>
      </c>
      <c r="N41" s="209">
        <f t="shared" ca="1" si="45"/>
        <v>0</v>
      </c>
      <c r="O41" s="209">
        <f t="shared" ca="1" si="45"/>
        <v>0</v>
      </c>
      <c r="P41" s="209">
        <f t="shared" ca="1" si="45"/>
        <v>0</v>
      </c>
      <c r="Q41" s="209">
        <f t="shared" ca="1" si="45"/>
        <v>0</v>
      </c>
      <c r="R41" s="209">
        <f t="shared" ca="1" si="45"/>
        <v>0</v>
      </c>
      <c r="S41" s="209">
        <f t="shared" ca="1" si="45"/>
        <v>0</v>
      </c>
      <c r="T41" s="209">
        <f t="shared" ca="1" si="45"/>
        <v>0</v>
      </c>
      <c r="U41" s="209">
        <f t="shared" ca="1" si="45"/>
        <v>0</v>
      </c>
      <c r="V41" s="209">
        <f t="shared" ca="1" si="45"/>
        <v>0</v>
      </c>
      <c r="W41" s="209">
        <f t="shared" ca="1" si="45"/>
        <v>0</v>
      </c>
      <c r="X41" s="209">
        <f t="shared" ca="1" si="45"/>
        <v>0</v>
      </c>
      <c r="Y41" s="209">
        <f t="shared" ca="1" si="45"/>
        <v>0</v>
      </c>
      <c r="Z41" s="209">
        <f t="shared" ca="1" si="45"/>
        <v>0</v>
      </c>
      <c r="AA41" s="209">
        <f t="shared" ca="1" si="45"/>
        <v>0</v>
      </c>
      <c r="AB41" s="209">
        <f t="shared" ca="1" si="45"/>
        <v>0</v>
      </c>
      <c r="AC41" s="209">
        <f t="shared" ca="1" si="45"/>
        <v>0</v>
      </c>
      <c r="AD41" s="209">
        <f t="shared" ca="1" si="45"/>
        <v>0</v>
      </c>
      <c r="AE41" s="209">
        <f t="shared" ca="1" si="45"/>
        <v>0</v>
      </c>
      <c r="AF41" s="209">
        <f t="shared" ca="1" si="45"/>
        <v>0</v>
      </c>
      <c r="AG41" s="209">
        <f t="shared" ca="1" si="45"/>
        <v>0</v>
      </c>
      <c r="AH41" s="209">
        <f t="shared" ca="1" si="45"/>
        <v>0</v>
      </c>
      <c r="AI41" s="209">
        <f t="shared" ca="1" si="45"/>
        <v>0</v>
      </c>
      <c r="AJ41" s="209">
        <f t="shared" ca="1" si="45"/>
        <v>0</v>
      </c>
      <c r="AK41" s="209">
        <f t="shared" ca="1" si="45"/>
        <v>0</v>
      </c>
      <c r="AL41" s="209">
        <f t="shared" ca="1" si="45"/>
        <v>0</v>
      </c>
      <c r="AM41" s="209">
        <f t="shared" ca="1" si="45"/>
        <v>0</v>
      </c>
      <c r="AN41" s="209">
        <f t="shared" ca="1" si="45"/>
        <v>0</v>
      </c>
      <c r="AO41" s="209">
        <f t="shared" ca="1" si="45"/>
        <v>0</v>
      </c>
      <c r="AP41" s="209">
        <f t="shared" ca="1" si="45"/>
        <v>0</v>
      </c>
      <c r="AQ41" s="209">
        <f t="shared" ca="1" si="45"/>
        <v>0</v>
      </c>
      <c r="AR41" s="209">
        <f t="shared" ca="1" si="45"/>
        <v>0</v>
      </c>
      <c r="AS41" s="209">
        <f t="shared" ca="1" si="45"/>
        <v>0</v>
      </c>
      <c r="AT41" s="209">
        <f t="shared" ca="1" si="45"/>
        <v>0</v>
      </c>
      <c r="AU41" s="209">
        <f t="shared" ca="1" si="45"/>
        <v>0</v>
      </c>
      <c r="AV41" s="209">
        <f t="shared" ca="1" si="45"/>
        <v>0</v>
      </c>
      <c r="AW41" s="209">
        <f t="shared" ca="1" si="45"/>
        <v>0</v>
      </c>
      <c r="AX41" s="209">
        <f t="shared" ca="1" si="45"/>
        <v>0</v>
      </c>
      <c r="AY41" s="209">
        <f t="shared" ca="1" si="45"/>
        <v>0</v>
      </c>
      <c r="AZ41" s="209">
        <f t="shared" ca="1" si="45"/>
        <v>0</v>
      </c>
      <c r="BA41" s="209">
        <f t="shared" ca="1" si="45"/>
        <v>0</v>
      </c>
      <c r="BB41" s="209">
        <f t="shared" ca="1" si="45"/>
        <v>0</v>
      </c>
      <c r="BC41" s="209">
        <f t="shared" ca="1" si="45"/>
        <v>0</v>
      </c>
      <c r="BD41" s="209">
        <f t="shared" ca="1" si="45"/>
        <v>0</v>
      </c>
      <c r="BE41" s="209">
        <f t="shared" ca="1" si="45"/>
        <v>0</v>
      </c>
      <c r="BF41" s="209">
        <f t="shared" ca="1" si="45"/>
        <v>0</v>
      </c>
      <c r="BG41" s="209">
        <f t="shared" ca="1" si="45"/>
        <v>0</v>
      </c>
    </row>
    <row r="42" spans="1:59" hidden="1">
      <c r="A42" s="280" t="s">
        <v>534</v>
      </c>
      <c r="B42" s="281"/>
      <c r="C42" s="281"/>
      <c r="D42" s="281"/>
      <c r="E42" s="281"/>
      <c r="F42" s="281"/>
      <c r="G42" s="281"/>
      <c r="H42" s="209">
        <f ca="1">IF(COUNTIF(H40:OFFSET(H40,0,$C$40-1),"&gt;=4")=$C$40,1,0)</f>
        <v>0</v>
      </c>
      <c r="I42" s="209">
        <f ca="1">IF(COUNTIF(I40:OFFSET(I40,0,$C$40-1),"&gt;=4")=$C$40,1,0)</f>
        <v>0</v>
      </c>
      <c r="J42" s="209">
        <f ca="1">IF(COUNTIF(J40:OFFSET(J40,0,$C$40-1),"&gt;=4")=$C$40,1,0)</f>
        <v>0</v>
      </c>
      <c r="K42" s="209">
        <f ca="1">IF(COUNTIF(K40:OFFSET(K40,0,$C$40-1),"&gt;=4")=$C$40,1,0)</f>
        <v>0</v>
      </c>
      <c r="L42" s="209">
        <f ca="1">IF(COUNTIF(L40:OFFSET(L40,0,$C$40-1),"&gt;=4")=$C$40,1,0)</f>
        <v>0</v>
      </c>
      <c r="M42" s="209">
        <f ca="1">IF(COUNTIF(M40:OFFSET(M40,0,$C$40-1),"&gt;=4")=$C$40,1,0)</f>
        <v>0</v>
      </c>
      <c r="N42" s="209">
        <f ca="1">IF(COUNTIF(N40:OFFSET(N40,0,$C$40-1),"&gt;=4")=$C$40,1,0)</f>
        <v>0</v>
      </c>
      <c r="O42" s="209">
        <f ca="1">IF(COUNTIF(O40:OFFSET(O40,0,$C$40-1),"&gt;=4")=$C$40,1,0)</f>
        <v>0</v>
      </c>
      <c r="P42" s="209">
        <f ca="1">IF(COUNTIF(P40:OFFSET(P40,0,$C$40-1),"&gt;=4")=$C$40,1,0)</f>
        <v>0</v>
      </c>
      <c r="Q42" s="209">
        <f ca="1">IF(COUNTIF(Q40:OFFSET(Q40,0,$C$40-1),"&gt;=4")=$C$40,1,0)</f>
        <v>0</v>
      </c>
      <c r="R42" s="209">
        <f ca="1">IF(COUNTIF(R40:OFFSET(R40,0,$C$40-1),"&gt;=4")=$C$40,1,0)</f>
        <v>0</v>
      </c>
      <c r="S42" s="209">
        <f ca="1">IF(COUNTIF(S40:OFFSET(S40,0,$C$40-1),"&gt;=4")=$C$40,1,0)</f>
        <v>0</v>
      </c>
      <c r="T42" s="209">
        <f ca="1">IF(COUNTIF(T40:OFFSET(T40,0,$C$40-1),"&gt;=4")=$C$40,1,0)</f>
        <v>0</v>
      </c>
      <c r="U42" s="209">
        <f ca="1">IF(COUNTIF(U40:OFFSET(U40,0,$C$40-1),"&gt;=4")=$C$40,1,0)</f>
        <v>1</v>
      </c>
      <c r="V42" s="209">
        <f ca="1">IF(COUNTIF(V40:OFFSET(V40,0,$C$40-1),"&gt;=4")=$C$40,1,0)</f>
        <v>1</v>
      </c>
      <c r="W42" s="209">
        <f ca="1">IF(COUNTIF(W40:OFFSET(W40,0,$C$40-1),"&gt;=4")=$C$40,1,0)</f>
        <v>1</v>
      </c>
      <c r="X42" s="209">
        <f ca="1">IF(COUNTIF(X40:OFFSET(X40,0,$C$40-1),"&gt;=4")=$C$40,1,0)</f>
        <v>1</v>
      </c>
      <c r="Y42" s="209">
        <f ca="1">IF(COUNTIF(Y40:OFFSET(Y40,0,$C$40-1),"&gt;=4")=$C$40,1,0)</f>
        <v>1</v>
      </c>
      <c r="Z42" s="209">
        <f ca="1">IF(COUNTIF(Z40:OFFSET(Z40,0,$C$40-1),"&gt;=4")=$C$40,1,0)</f>
        <v>1</v>
      </c>
      <c r="AA42" s="209">
        <f ca="1">IF(COUNTIF(AA40:OFFSET(AA40,0,$C$40-1),"&gt;=4")=$C$40,1,0)</f>
        <v>1</v>
      </c>
      <c r="AB42" s="209">
        <f ca="1">IF(COUNTIF(AB40:OFFSET(AB40,0,$C$40-1),"&gt;=4")=$C$40,1,0)</f>
        <v>1</v>
      </c>
      <c r="AC42" s="209">
        <f ca="1">IF(COUNTIF(AC40:OFFSET(AC40,0,$C$40-1),"&gt;=4")=$C$40,1,0)</f>
        <v>1</v>
      </c>
      <c r="AD42" s="209">
        <f ca="1">IF(COUNTIF(AD40:OFFSET(AD40,0,$C$40-1),"&gt;=4")=$C$40,1,0)</f>
        <v>1</v>
      </c>
      <c r="AE42" s="209">
        <f ca="1">IF(COUNTIF(AE40:OFFSET(AE40,0,$C$40-1),"&gt;=4")=$C$40,1,0)</f>
        <v>1</v>
      </c>
      <c r="AF42" s="209">
        <f ca="1">IF(COUNTIF(AF40:OFFSET(AF40,0,$C$40-1),"&gt;=4")=$C$40,1,0)</f>
        <v>1</v>
      </c>
      <c r="AG42" s="209">
        <f ca="1">IF(COUNTIF(AG40:OFFSET(AG40,0,$C$40-1),"&gt;=4")=$C$40,1,0)</f>
        <v>1</v>
      </c>
      <c r="AH42" s="209">
        <f ca="1">IF(COUNTIF(AH40:OFFSET(AH40,0,$C$40-1),"&gt;=4")=$C$40,1,0)</f>
        <v>1</v>
      </c>
      <c r="AI42" s="209">
        <f ca="1">IF(COUNTIF(AI40:OFFSET(AI40,0,$C$40-1),"&gt;=4")=$C$40,1,0)</f>
        <v>1</v>
      </c>
      <c r="AJ42" s="209">
        <f ca="1">IF(COUNTIF(AJ40:OFFSET(AJ40,0,$C$40-1),"&gt;=4")=$C$40,1,0)</f>
        <v>1</v>
      </c>
      <c r="AK42" s="209">
        <f ca="1">IF(COUNTIF(AK40:OFFSET(AK40,0,$C$40-1),"&gt;=4")=$C$40,1,0)</f>
        <v>1</v>
      </c>
      <c r="AL42" s="209">
        <f ca="1">IF(COUNTIF(AL40:OFFSET(AL40,0,$C$40-1),"&gt;=4")=$C$40,1,0)</f>
        <v>1</v>
      </c>
      <c r="AM42" s="209">
        <f ca="1">IF(COUNTIF(AM40:OFFSET(AM40,0,$C$40-1),"&gt;=4")=$C$40,1,0)</f>
        <v>1</v>
      </c>
      <c r="AN42" s="209">
        <f ca="1">IF(COUNTIF(AN40:OFFSET(AN40,0,$C$40-1),"&gt;=4")=$C$40,1,0)</f>
        <v>1</v>
      </c>
      <c r="AO42" s="209">
        <f ca="1">IF(COUNTIF(AO40:OFFSET(AO40,0,$C$40-1),"&gt;=4")=$C$40,1,0)</f>
        <v>1</v>
      </c>
      <c r="AP42" s="209">
        <f ca="1">IF(COUNTIF(AP40:OFFSET(AP40,0,$C$40-1),"&gt;=4")=$C$40,1,0)</f>
        <v>1</v>
      </c>
      <c r="AQ42" s="209">
        <f ca="1">IF(COUNTIF(AQ40:OFFSET(AQ40,0,$C$40-1),"&gt;=4")=$C$40,1,0)</f>
        <v>1</v>
      </c>
      <c r="AR42" s="209">
        <f ca="1">IF(COUNTIF(AR40:OFFSET(AR40,0,$C$40-1),"&gt;=4")=$C$40,1,0)</f>
        <v>1</v>
      </c>
      <c r="AS42" s="209">
        <f ca="1">IF(COUNTIF(AS40:OFFSET(AS40,0,$C$40-1),"&gt;=4")=$C$40,1,0)</f>
        <v>1</v>
      </c>
      <c r="AT42" s="209">
        <f ca="1">IF(COUNTIF(AT40:OFFSET(AT40,0,$C$40-1),"&gt;=4")=$C$40,1,0)</f>
        <v>1</v>
      </c>
      <c r="AU42" s="209">
        <f ca="1">IF(COUNTIF(AU40:OFFSET(AU40,0,$C$40-1),"&gt;=4")=$C$40,1,0)</f>
        <v>1</v>
      </c>
      <c r="AV42" s="209">
        <f ca="1">IF(COUNTIF(AV40:OFFSET(AV40,0,$C$40-1),"&gt;=4")=$C$40,1,0)</f>
        <v>1</v>
      </c>
      <c r="AW42" s="209">
        <f ca="1">IF(COUNTIF(AW40:OFFSET(AW40,0,$C$40-1),"&gt;=4")=$C$40,1,0)</f>
        <v>1</v>
      </c>
      <c r="AX42" s="209">
        <f ca="1">IF(COUNTIF(AX40:OFFSET(AX40,0,$C$40-1),"&gt;=4")=$C$40,1,0)</f>
        <v>1</v>
      </c>
      <c r="AY42" s="209">
        <f ca="1">IF(COUNTIF(AY40:OFFSET(AY40,0,$C$40-1),"&gt;=4")=$C$40,1,0)</f>
        <v>1</v>
      </c>
      <c r="AZ42" s="209">
        <f ca="1">IF(COUNTIF(AZ40:OFFSET(AZ40,0,$C$40-1),"&gt;=4")=$C$40,1,0)</f>
        <v>1</v>
      </c>
      <c r="BA42" s="209">
        <f ca="1">IF(COUNTIF(BA40:OFFSET(BA40,0,$C$40-1),"&gt;=4")=$C$40,1,0)</f>
        <v>1</v>
      </c>
      <c r="BB42" s="209">
        <f ca="1">IF(COUNTIF(BB40:OFFSET(BB40,0,$C$40-1),"&gt;=4")=$C$40,1,0)</f>
        <v>1</v>
      </c>
      <c r="BC42" s="209">
        <f ca="1">IF(COUNTIF(BC40:OFFSET(BC40,0,$C$40-1),"&gt;=4")=$C$40,1,0)</f>
        <v>1</v>
      </c>
      <c r="BD42" s="209">
        <f ca="1">IF(COUNTIF(BD40:OFFSET(BD40,0,$C$40-1),"&gt;=4")=$C$40,1,0)</f>
        <v>0</v>
      </c>
      <c r="BE42" s="209">
        <f ca="1">IF(COUNTIF(BE40:OFFSET(BE40,0,$C$40-1),"&gt;=4")=$C$40,1,0)</f>
        <v>0</v>
      </c>
      <c r="BF42" s="209">
        <f ca="1">IF(COUNTIF(BF40:OFFSET(BF40,0,$C$40-1),"&gt;=4")=$C$40,1,0)</f>
        <v>0</v>
      </c>
      <c r="BG42" s="209">
        <f ca="1">IF(COUNTIF(BG40:OFFSET(BG40,0,$C$40-1),"&gt;=4")=$C$40,1,0)</f>
        <v>0</v>
      </c>
    </row>
    <row r="43" spans="1:59" hidden="1">
      <c r="A43" s="280" t="s">
        <v>535</v>
      </c>
      <c r="B43" s="281"/>
      <c r="C43" s="281"/>
      <c r="D43" s="281"/>
      <c r="E43" s="281"/>
      <c r="F43" s="281"/>
      <c r="G43" s="281"/>
      <c r="H43" s="209">
        <f ca="1">IF(COUNTIF(H41:OFFSET(H41,0,$C$40-1),"&gt;=1")=$C$40,1,0)</f>
        <v>0</v>
      </c>
      <c r="I43" s="209">
        <f ca="1">IF(COUNTIF(I41:OFFSET(I41,0,$C$40-1),"&gt;=1")=$C$40,1,0)</f>
        <v>0</v>
      </c>
      <c r="J43" s="209">
        <f ca="1">IF(COUNTIF(J41:OFFSET(J41,0,$C$40-1),"&gt;=1")=$C$40,1,0)</f>
        <v>0</v>
      </c>
      <c r="K43" s="209">
        <f ca="1">IF(COUNTIF(K41:OFFSET(K41,0,$C$40-1),"&gt;=1")=$C$40,1,0)</f>
        <v>0</v>
      </c>
      <c r="L43" s="209">
        <f ca="1">IF(COUNTIF(L41:OFFSET(L41,0,$C$40-1),"&gt;=1")=$C$40,1,0)</f>
        <v>0</v>
      </c>
      <c r="M43" s="209">
        <f ca="1">IF(COUNTIF(M41:OFFSET(M41,0,$C$40-1),"&gt;=1")=$C$40,1,0)</f>
        <v>0</v>
      </c>
      <c r="N43" s="209">
        <f ca="1">IF(COUNTIF(N41:OFFSET(N41,0,$C$40-1),"&gt;=1")=$C$40,1,0)</f>
        <v>0</v>
      </c>
      <c r="O43" s="209">
        <f ca="1">IF(COUNTIF(O41:OFFSET(O41,0,$C$40-1),"&gt;=1")=$C$40,1,0)</f>
        <v>0</v>
      </c>
      <c r="P43" s="209">
        <f ca="1">IF(COUNTIF(P41:OFFSET(P41,0,$C$40-1),"&gt;=1")=$C$40,1,0)</f>
        <v>0</v>
      </c>
      <c r="Q43" s="209">
        <f ca="1">IF(COUNTIF(Q41:OFFSET(Q41,0,$C$40-1),"&gt;=1")=$C$40,1,0)</f>
        <v>0</v>
      </c>
      <c r="R43" s="209">
        <f ca="1">IF(COUNTIF(R41:OFFSET(R41,0,$C$40-1),"&gt;=1")=$C$40,1,0)</f>
        <v>0</v>
      </c>
      <c r="S43" s="209">
        <f ca="1">IF(COUNTIF(S41:OFFSET(S41,0,$C$40-1),"&gt;=1")=$C$40,1,0)</f>
        <v>0</v>
      </c>
      <c r="T43" s="209">
        <f ca="1">IF(COUNTIF(T41:OFFSET(T41,0,$C$40-1),"&gt;=1")=$C$40,1,0)</f>
        <v>0</v>
      </c>
      <c r="U43" s="209">
        <f ca="1">IF(COUNTIF(U41:OFFSET(U41,0,$C$40-1),"&gt;=1")=$C$40,1,0)</f>
        <v>0</v>
      </c>
      <c r="V43" s="209">
        <f ca="1">IF(COUNTIF(V41:OFFSET(V41,0,$C$40-1),"&gt;=1")=$C$40,1,0)</f>
        <v>0</v>
      </c>
      <c r="W43" s="209">
        <f ca="1">IF(COUNTIF(W41:OFFSET(W41,0,$C$40-1),"&gt;=1")=$C$40,1,0)</f>
        <v>0</v>
      </c>
      <c r="X43" s="209">
        <f ca="1">IF(COUNTIF(X41:OFFSET(X41,0,$C$40-1),"&gt;=1")=$C$40,1,0)</f>
        <v>0</v>
      </c>
      <c r="Y43" s="209">
        <f ca="1">IF(COUNTIF(Y41:OFFSET(Y41,0,$C$40-1),"&gt;=1")=$C$40,1,0)</f>
        <v>0</v>
      </c>
      <c r="Z43" s="209">
        <f ca="1">IF(COUNTIF(Z41:OFFSET(Z41,0,$C$40-1),"&gt;=1")=$C$40,1,0)</f>
        <v>0</v>
      </c>
      <c r="AA43" s="209">
        <f ca="1">IF(COUNTIF(AA41:OFFSET(AA41,0,$C$40-1),"&gt;=1")=$C$40,1,0)</f>
        <v>0</v>
      </c>
      <c r="AB43" s="209">
        <f ca="1">IF(COUNTIF(AB41:OFFSET(AB41,0,$C$40-1),"&gt;=1")=$C$40,1,0)</f>
        <v>0</v>
      </c>
      <c r="AC43" s="209">
        <f ca="1">IF(COUNTIF(AC41:OFFSET(AC41,0,$C$40-1),"&gt;=1")=$C$40,1,0)</f>
        <v>0</v>
      </c>
      <c r="AD43" s="209">
        <f ca="1">IF(COUNTIF(AD41:OFFSET(AD41,0,$C$40-1),"&gt;=1")=$C$40,1,0)</f>
        <v>0</v>
      </c>
      <c r="AE43" s="209">
        <f ca="1">IF(COUNTIF(AE41:OFFSET(AE41,0,$C$40-1),"&gt;=1")=$C$40,1,0)</f>
        <v>0</v>
      </c>
      <c r="AF43" s="209">
        <f ca="1">IF(COUNTIF(AF41:OFFSET(AF41,0,$C$40-1),"&gt;=1")=$C$40,1,0)</f>
        <v>0</v>
      </c>
      <c r="AG43" s="209">
        <f ca="1">IF(COUNTIF(AG41:OFFSET(AG41,0,$C$40-1),"&gt;=1")=$C$40,1,0)</f>
        <v>0</v>
      </c>
      <c r="AH43" s="209">
        <f ca="1">IF(COUNTIF(AH41:OFFSET(AH41,0,$C$40-1),"&gt;=1")=$C$40,1,0)</f>
        <v>0</v>
      </c>
      <c r="AI43" s="209">
        <f ca="1">IF(COUNTIF(AI41:OFFSET(AI41,0,$C$40-1),"&gt;=1")=$C$40,1,0)</f>
        <v>0</v>
      </c>
      <c r="AJ43" s="209">
        <f ca="1">IF(COUNTIF(AJ41:OFFSET(AJ41,0,$C$40-1),"&gt;=1")=$C$40,1,0)</f>
        <v>0</v>
      </c>
      <c r="AK43" s="209">
        <f ca="1">IF(COUNTIF(AK41:OFFSET(AK41,0,$C$40-1),"&gt;=1")=$C$40,1,0)</f>
        <v>0</v>
      </c>
      <c r="AL43" s="209">
        <f ca="1">IF(COUNTIF(AL41:OFFSET(AL41,0,$C$40-1),"&gt;=1")=$C$40,1,0)</f>
        <v>0</v>
      </c>
      <c r="AM43" s="209">
        <f ca="1">IF(COUNTIF(AM41:OFFSET(AM41,0,$C$40-1),"&gt;=1")=$C$40,1,0)</f>
        <v>0</v>
      </c>
      <c r="AN43" s="209">
        <f ca="1">IF(COUNTIF(AN41:OFFSET(AN41,0,$C$40-1),"&gt;=1")=$C$40,1,0)</f>
        <v>0</v>
      </c>
      <c r="AO43" s="209">
        <f ca="1">IF(COUNTIF(AO41:OFFSET(AO41,0,$C$40-1),"&gt;=1")=$C$40,1,0)</f>
        <v>0</v>
      </c>
      <c r="AP43" s="209">
        <f ca="1">IF(COUNTIF(AP41:OFFSET(AP41,0,$C$40-1),"&gt;=1")=$C$40,1,0)</f>
        <v>0</v>
      </c>
      <c r="AQ43" s="209">
        <f ca="1">IF(COUNTIF(AQ41:OFFSET(AQ41,0,$C$40-1),"&gt;=1")=$C$40,1,0)</f>
        <v>0</v>
      </c>
      <c r="AR43" s="209">
        <f ca="1">IF(COUNTIF(AR41:OFFSET(AR41,0,$C$40-1),"&gt;=1")=$C$40,1,0)</f>
        <v>0</v>
      </c>
      <c r="AS43" s="209">
        <f ca="1">IF(COUNTIF(AS41:OFFSET(AS41,0,$C$40-1),"&gt;=1")=$C$40,1,0)</f>
        <v>0</v>
      </c>
      <c r="AT43" s="209">
        <f ca="1">IF(COUNTIF(AT41:OFFSET(AT41,0,$C$40-1),"&gt;=1")=$C$40,1,0)</f>
        <v>0</v>
      </c>
      <c r="AU43" s="209">
        <f ca="1">IF(COUNTIF(AU41:OFFSET(AU41,0,$C$40-1),"&gt;=1")=$C$40,1,0)</f>
        <v>0</v>
      </c>
      <c r="AV43" s="209">
        <f ca="1">IF(COUNTIF(AV41:OFFSET(AV41,0,$C$40-1),"&gt;=1")=$C$40,1,0)</f>
        <v>0</v>
      </c>
      <c r="AW43" s="209">
        <f ca="1">IF(COUNTIF(AW41:OFFSET(AW41,0,$C$40-1),"&gt;=1")=$C$40,1,0)</f>
        <v>0</v>
      </c>
      <c r="AX43" s="209">
        <f ca="1">IF(COUNTIF(AX41:OFFSET(AX41,0,$C$40-1),"&gt;=1")=$C$40,1,0)</f>
        <v>0</v>
      </c>
      <c r="AY43" s="209">
        <f ca="1">IF(COUNTIF(AY41:OFFSET(AY41,0,$C$40-1),"&gt;=1")=$C$40,1,0)</f>
        <v>0</v>
      </c>
      <c r="AZ43" s="209">
        <f ca="1">IF(COUNTIF(AZ41:OFFSET(AZ41,0,$C$40-1),"&gt;=1")=$C$40,1,0)</f>
        <v>0</v>
      </c>
      <c r="BA43" s="209">
        <f ca="1">IF(COUNTIF(BA41:OFFSET(BA41,0,$C$40-1),"&gt;=1")=$C$40,1,0)</f>
        <v>0</v>
      </c>
      <c r="BB43" s="209">
        <f ca="1">IF(COUNTIF(BB41:OFFSET(BB41,0,$C$40-1),"&gt;=1")=$C$40,1,0)</f>
        <v>0</v>
      </c>
      <c r="BC43" s="209">
        <f ca="1">IF(COUNTIF(BC41:OFFSET(BC41,0,$C$40-1),"&gt;=1")=$C$40,1,0)</f>
        <v>0</v>
      </c>
      <c r="BD43" s="209">
        <f ca="1">IF(COUNTIF(BD41:OFFSET(BD41,0,$C$40-1),"&gt;=1")=$C$40,1,0)</f>
        <v>0</v>
      </c>
      <c r="BE43" s="209">
        <f ca="1">IF(COUNTIF(BE41:OFFSET(BE41,0,$C$40-1),"&gt;=1")=$C$40,1,0)</f>
        <v>0</v>
      </c>
      <c r="BF43" s="209">
        <f ca="1">IF(COUNTIF(BF41:OFFSET(BF41,0,$C$40-1),"&gt;=1")=$C$40,1,0)</f>
        <v>0</v>
      </c>
      <c r="BG43" s="209">
        <f ca="1">IF(COUNTIF(BG41:OFFSET(BG41,0,$C$40-1),"&gt;=1")=$C$40,1,0)</f>
        <v>0</v>
      </c>
    </row>
    <row r="44" spans="1:59" hidden="1">
      <c r="A44" s="280" t="s">
        <v>536</v>
      </c>
      <c r="B44" s="281"/>
      <c r="C44" s="281"/>
      <c r="D44" s="281"/>
      <c r="E44" s="281"/>
      <c r="F44" s="281"/>
      <c r="G44" s="281"/>
      <c r="H44" s="209">
        <f ca="1">IF(OR(AND(H42=1,G46=1),AND(H42=1,G42=0)),1,0)</f>
        <v>0</v>
      </c>
      <c r="I44" s="209">
        <f t="shared" ref="I44:BG44" ca="1" si="46">IF(OR(AND(I42=1,H46=1),AND(I42=1,H42=0)),1,0)</f>
        <v>0</v>
      </c>
      <c r="J44" s="209">
        <f t="shared" ca="1" si="46"/>
        <v>0</v>
      </c>
      <c r="K44" s="209">
        <f t="shared" ca="1" si="46"/>
        <v>0</v>
      </c>
      <c r="L44" s="209">
        <f t="shared" ca="1" si="46"/>
        <v>0</v>
      </c>
      <c r="M44" s="209">
        <f t="shared" ca="1" si="46"/>
        <v>0</v>
      </c>
      <c r="N44" s="209">
        <f t="shared" ca="1" si="46"/>
        <v>0</v>
      </c>
      <c r="O44" s="209">
        <f t="shared" ca="1" si="46"/>
        <v>0</v>
      </c>
      <c r="P44" s="209">
        <f t="shared" ca="1" si="46"/>
        <v>0</v>
      </c>
      <c r="Q44" s="209">
        <f t="shared" ca="1" si="46"/>
        <v>0</v>
      </c>
      <c r="R44" s="209">
        <f t="shared" ca="1" si="46"/>
        <v>0</v>
      </c>
      <c r="S44" s="209">
        <f t="shared" ca="1" si="46"/>
        <v>0</v>
      </c>
      <c r="T44" s="209">
        <f t="shared" ca="1" si="46"/>
        <v>0</v>
      </c>
      <c r="U44" s="209">
        <f t="shared" ca="1" si="46"/>
        <v>1</v>
      </c>
      <c r="V44" s="209">
        <f t="shared" ca="1" si="46"/>
        <v>0</v>
      </c>
      <c r="W44" s="209">
        <f t="shared" ca="1" si="46"/>
        <v>0</v>
      </c>
      <c r="X44" s="209">
        <f t="shared" ca="1" si="46"/>
        <v>0</v>
      </c>
      <c r="Y44" s="209">
        <f t="shared" ca="1" si="46"/>
        <v>0</v>
      </c>
      <c r="Z44" s="209">
        <f ca="1">IF(OR(AND(Z42=1,Y46=1),AND(Z42=1,Y42=0)),1,0)</f>
        <v>0</v>
      </c>
      <c r="AA44" s="209">
        <f t="shared" ca="1" si="46"/>
        <v>1</v>
      </c>
      <c r="AB44" s="209">
        <f t="shared" ca="1" si="46"/>
        <v>0</v>
      </c>
      <c r="AC44" s="209">
        <f t="shared" ca="1" si="46"/>
        <v>0</v>
      </c>
      <c r="AD44" s="209">
        <f t="shared" ca="1" si="46"/>
        <v>0</v>
      </c>
      <c r="AE44" s="209">
        <f t="shared" ca="1" si="46"/>
        <v>0</v>
      </c>
      <c r="AF44" s="209">
        <f ca="1">IF(OR(AND(AF42=1,AE46=1),AND(AF42=1,AE42=0)),1,0)</f>
        <v>0</v>
      </c>
      <c r="AG44" s="209">
        <f t="shared" ca="1" si="46"/>
        <v>1</v>
      </c>
      <c r="AH44" s="209">
        <f t="shared" ca="1" si="46"/>
        <v>0</v>
      </c>
      <c r="AI44" s="209">
        <f t="shared" ca="1" si="46"/>
        <v>0</v>
      </c>
      <c r="AJ44" s="209">
        <f t="shared" ca="1" si="46"/>
        <v>0</v>
      </c>
      <c r="AK44" s="209">
        <f t="shared" ca="1" si="46"/>
        <v>0</v>
      </c>
      <c r="AL44" s="209">
        <f t="shared" ca="1" si="46"/>
        <v>0</v>
      </c>
      <c r="AM44" s="209">
        <f t="shared" ca="1" si="46"/>
        <v>1</v>
      </c>
      <c r="AN44" s="209">
        <f t="shared" ca="1" si="46"/>
        <v>0</v>
      </c>
      <c r="AO44" s="209">
        <f t="shared" ca="1" si="46"/>
        <v>0</v>
      </c>
      <c r="AP44" s="209">
        <f t="shared" ca="1" si="46"/>
        <v>0</v>
      </c>
      <c r="AQ44" s="209">
        <f t="shared" ca="1" si="46"/>
        <v>0</v>
      </c>
      <c r="AR44" s="209">
        <f t="shared" ca="1" si="46"/>
        <v>0</v>
      </c>
      <c r="AS44" s="209">
        <f t="shared" ca="1" si="46"/>
        <v>1</v>
      </c>
      <c r="AT44" s="209">
        <f t="shared" ca="1" si="46"/>
        <v>0</v>
      </c>
      <c r="AU44" s="209">
        <f t="shared" ca="1" si="46"/>
        <v>0</v>
      </c>
      <c r="AV44" s="209">
        <f t="shared" ca="1" si="46"/>
        <v>0</v>
      </c>
      <c r="AW44" s="209">
        <f t="shared" ca="1" si="46"/>
        <v>0</v>
      </c>
      <c r="AX44" s="209">
        <f t="shared" ca="1" si="46"/>
        <v>0</v>
      </c>
      <c r="AY44" s="209">
        <f t="shared" ca="1" si="46"/>
        <v>1</v>
      </c>
      <c r="AZ44" s="209">
        <f t="shared" ca="1" si="46"/>
        <v>0</v>
      </c>
      <c r="BA44" s="209">
        <f t="shared" ca="1" si="46"/>
        <v>0</v>
      </c>
      <c r="BB44" s="209">
        <f t="shared" ca="1" si="46"/>
        <v>0</v>
      </c>
      <c r="BC44" s="209">
        <f t="shared" ca="1" si="46"/>
        <v>0</v>
      </c>
      <c r="BD44" s="209">
        <f t="shared" ca="1" si="46"/>
        <v>0</v>
      </c>
      <c r="BE44" s="209">
        <f t="shared" ca="1" si="46"/>
        <v>0</v>
      </c>
      <c r="BF44" s="209">
        <f t="shared" ca="1" si="46"/>
        <v>0</v>
      </c>
      <c r="BG44" s="209">
        <f t="shared" ca="1" si="46"/>
        <v>0</v>
      </c>
    </row>
    <row r="45" spans="1:59" hidden="1">
      <c r="A45" s="280" t="s">
        <v>537</v>
      </c>
      <c r="B45" s="281"/>
      <c r="C45" s="281"/>
      <c r="D45" s="281"/>
      <c r="E45" s="281"/>
      <c r="F45" s="281"/>
      <c r="G45" s="281"/>
      <c r="H45" s="209">
        <f>IF(G49=1,1,0)</f>
        <v>0</v>
      </c>
      <c r="I45" s="209">
        <f t="shared" ref="I45:BG45" si="47">IF(H49=1,1,0)</f>
        <v>0</v>
      </c>
      <c r="J45" s="209">
        <f t="shared" ca="1" si="47"/>
        <v>0</v>
      </c>
      <c r="K45" s="209">
        <f t="shared" ca="1" si="47"/>
        <v>0</v>
      </c>
      <c r="L45" s="209">
        <f t="shared" ca="1" si="47"/>
        <v>0</v>
      </c>
      <c r="M45" s="209">
        <f t="shared" ca="1" si="47"/>
        <v>0</v>
      </c>
      <c r="N45" s="209">
        <f t="shared" ca="1" si="47"/>
        <v>0</v>
      </c>
      <c r="O45" s="209">
        <f t="shared" ca="1" si="47"/>
        <v>0</v>
      </c>
      <c r="P45" s="209">
        <f t="shared" ca="1" si="47"/>
        <v>0</v>
      </c>
      <c r="Q45" s="209">
        <f t="shared" ca="1" si="47"/>
        <v>0</v>
      </c>
      <c r="R45" s="209">
        <f t="shared" ca="1" si="47"/>
        <v>0</v>
      </c>
      <c r="S45" s="209">
        <f t="shared" ca="1" si="47"/>
        <v>0</v>
      </c>
      <c r="T45" s="209">
        <f t="shared" ca="1" si="47"/>
        <v>0</v>
      </c>
      <c r="U45" s="209">
        <f t="shared" ca="1" si="47"/>
        <v>0</v>
      </c>
      <c r="V45" s="209">
        <f t="shared" ca="1" si="47"/>
        <v>0</v>
      </c>
      <c r="W45" s="209">
        <f t="shared" ca="1" si="47"/>
        <v>0</v>
      </c>
      <c r="X45" s="209">
        <f t="shared" ca="1" si="47"/>
        <v>0</v>
      </c>
      <c r="Y45" s="209">
        <f t="shared" ca="1" si="47"/>
        <v>1</v>
      </c>
      <c r="Z45" s="209">
        <f t="shared" ca="1" si="47"/>
        <v>0</v>
      </c>
      <c r="AA45" s="209">
        <f t="shared" ca="1" si="47"/>
        <v>0</v>
      </c>
      <c r="AB45" s="209">
        <f t="shared" ca="1" si="47"/>
        <v>0</v>
      </c>
      <c r="AC45" s="209">
        <f t="shared" ca="1" si="47"/>
        <v>0</v>
      </c>
      <c r="AD45" s="209">
        <f t="shared" ca="1" si="47"/>
        <v>0</v>
      </c>
      <c r="AE45" s="209">
        <f t="shared" ca="1" si="47"/>
        <v>1</v>
      </c>
      <c r="AF45" s="209">
        <f t="shared" ca="1" si="47"/>
        <v>0</v>
      </c>
      <c r="AG45" s="209">
        <f t="shared" ca="1" si="47"/>
        <v>0</v>
      </c>
      <c r="AH45" s="209">
        <f t="shared" ca="1" si="47"/>
        <v>0</v>
      </c>
      <c r="AI45" s="209">
        <f t="shared" ca="1" si="47"/>
        <v>0</v>
      </c>
      <c r="AJ45" s="209">
        <f t="shared" ca="1" si="47"/>
        <v>0</v>
      </c>
      <c r="AK45" s="209">
        <f t="shared" ca="1" si="47"/>
        <v>1</v>
      </c>
      <c r="AL45" s="209">
        <f t="shared" ca="1" si="47"/>
        <v>0</v>
      </c>
      <c r="AM45" s="209">
        <f t="shared" ca="1" si="47"/>
        <v>0</v>
      </c>
      <c r="AN45" s="209">
        <f t="shared" ca="1" si="47"/>
        <v>0</v>
      </c>
      <c r="AO45" s="209">
        <f t="shared" ca="1" si="47"/>
        <v>0</v>
      </c>
      <c r="AP45" s="209">
        <f t="shared" ca="1" si="47"/>
        <v>0</v>
      </c>
      <c r="AQ45" s="209">
        <f t="shared" ca="1" si="47"/>
        <v>1</v>
      </c>
      <c r="AR45" s="209">
        <f t="shared" ca="1" si="47"/>
        <v>0</v>
      </c>
      <c r="AS45" s="209">
        <f t="shared" ca="1" si="47"/>
        <v>0</v>
      </c>
      <c r="AT45" s="209">
        <f t="shared" ca="1" si="47"/>
        <v>0</v>
      </c>
      <c r="AU45" s="209">
        <f t="shared" ca="1" si="47"/>
        <v>0</v>
      </c>
      <c r="AV45" s="209">
        <f t="shared" ca="1" si="47"/>
        <v>0</v>
      </c>
      <c r="AW45" s="209">
        <f t="shared" ca="1" si="47"/>
        <v>1</v>
      </c>
      <c r="AX45" s="209">
        <f t="shared" ca="1" si="47"/>
        <v>0</v>
      </c>
      <c r="AY45" s="209">
        <f t="shared" ca="1" si="47"/>
        <v>0</v>
      </c>
      <c r="AZ45" s="209">
        <f t="shared" ca="1" si="47"/>
        <v>0</v>
      </c>
      <c r="BA45" s="209">
        <f t="shared" ca="1" si="47"/>
        <v>0</v>
      </c>
      <c r="BB45" s="209">
        <f t="shared" ca="1" si="47"/>
        <v>0</v>
      </c>
      <c r="BC45" s="209">
        <f t="shared" ca="1" si="47"/>
        <v>1</v>
      </c>
      <c r="BD45" s="209">
        <f t="shared" ca="1" si="47"/>
        <v>0</v>
      </c>
      <c r="BE45" s="209">
        <f t="shared" ca="1" si="47"/>
        <v>0</v>
      </c>
      <c r="BF45" s="209">
        <f t="shared" ca="1" si="47"/>
        <v>0</v>
      </c>
      <c r="BG45" s="209">
        <f t="shared" ca="1" si="47"/>
        <v>0</v>
      </c>
    </row>
    <row r="46" spans="1:59" hidden="1">
      <c r="A46" s="280" t="s">
        <v>543</v>
      </c>
      <c r="B46" s="281"/>
      <c r="C46" s="281"/>
      <c r="D46" s="281"/>
      <c r="E46" s="281"/>
      <c r="F46" s="281"/>
      <c r="G46" s="281"/>
      <c r="H46" s="209">
        <f>IF(G45=1,1,0)</f>
        <v>0</v>
      </c>
      <c r="I46" s="209">
        <f t="shared" ref="I46:BG46" si="48">IF(H45=1,1,0)</f>
        <v>0</v>
      </c>
      <c r="J46" s="209">
        <f t="shared" si="48"/>
        <v>0</v>
      </c>
      <c r="K46" s="209">
        <f t="shared" ca="1" si="48"/>
        <v>0</v>
      </c>
      <c r="L46" s="209">
        <f t="shared" ca="1" si="48"/>
        <v>0</v>
      </c>
      <c r="M46" s="209">
        <f t="shared" ca="1" si="48"/>
        <v>0</v>
      </c>
      <c r="N46" s="209">
        <f t="shared" ca="1" si="48"/>
        <v>0</v>
      </c>
      <c r="O46" s="209">
        <f t="shared" ca="1" si="48"/>
        <v>0</v>
      </c>
      <c r="P46" s="209">
        <f t="shared" ca="1" si="48"/>
        <v>0</v>
      </c>
      <c r="Q46" s="209">
        <f t="shared" ca="1" si="48"/>
        <v>0</v>
      </c>
      <c r="R46" s="209">
        <f t="shared" ca="1" si="48"/>
        <v>0</v>
      </c>
      <c r="S46" s="209">
        <f t="shared" ca="1" si="48"/>
        <v>0</v>
      </c>
      <c r="T46" s="209">
        <f t="shared" ca="1" si="48"/>
        <v>0</v>
      </c>
      <c r="U46" s="209">
        <f t="shared" ca="1" si="48"/>
        <v>0</v>
      </c>
      <c r="V46" s="209">
        <f t="shared" ca="1" si="48"/>
        <v>0</v>
      </c>
      <c r="W46" s="209">
        <f t="shared" ca="1" si="48"/>
        <v>0</v>
      </c>
      <c r="X46" s="209">
        <f t="shared" ca="1" si="48"/>
        <v>0</v>
      </c>
      <c r="Y46" s="209">
        <f t="shared" ca="1" si="48"/>
        <v>0</v>
      </c>
      <c r="Z46" s="209">
        <f t="shared" ca="1" si="48"/>
        <v>1</v>
      </c>
      <c r="AA46" s="209">
        <f t="shared" ca="1" si="48"/>
        <v>0</v>
      </c>
      <c r="AB46" s="209">
        <f t="shared" ca="1" si="48"/>
        <v>0</v>
      </c>
      <c r="AC46" s="209">
        <f t="shared" ca="1" si="48"/>
        <v>0</v>
      </c>
      <c r="AD46" s="209">
        <f t="shared" ca="1" si="48"/>
        <v>0</v>
      </c>
      <c r="AE46" s="209">
        <f t="shared" ca="1" si="48"/>
        <v>0</v>
      </c>
      <c r="AF46" s="209">
        <f t="shared" ca="1" si="48"/>
        <v>1</v>
      </c>
      <c r="AG46" s="209">
        <f t="shared" ca="1" si="48"/>
        <v>0</v>
      </c>
      <c r="AH46" s="209">
        <f t="shared" ca="1" si="48"/>
        <v>0</v>
      </c>
      <c r="AI46" s="209">
        <f t="shared" ca="1" si="48"/>
        <v>0</v>
      </c>
      <c r="AJ46" s="209">
        <f t="shared" ca="1" si="48"/>
        <v>0</v>
      </c>
      <c r="AK46" s="209">
        <f t="shared" ca="1" si="48"/>
        <v>0</v>
      </c>
      <c r="AL46" s="209">
        <f t="shared" ca="1" si="48"/>
        <v>1</v>
      </c>
      <c r="AM46" s="209">
        <f t="shared" ca="1" si="48"/>
        <v>0</v>
      </c>
      <c r="AN46" s="209">
        <f t="shared" ca="1" si="48"/>
        <v>0</v>
      </c>
      <c r="AO46" s="209">
        <f t="shared" ca="1" si="48"/>
        <v>0</v>
      </c>
      <c r="AP46" s="209">
        <f t="shared" ca="1" si="48"/>
        <v>0</v>
      </c>
      <c r="AQ46" s="209">
        <f t="shared" ca="1" si="48"/>
        <v>0</v>
      </c>
      <c r="AR46" s="209">
        <f t="shared" ca="1" si="48"/>
        <v>1</v>
      </c>
      <c r="AS46" s="209">
        <f t="shared" ca="1" si="48"/>
        <v>0</v>
      </c>
      <c r="AT46" s="209">
        <f t="shared" ca="1" si="48"/>
        <v>0</v>
      </c>
      <c r="AU46" s="209">
        <f t="shared" ca="1" si="48"/>
        <v>0</v>
      </c>
      <c r="AV46" s="209">
        <f t="shared" ca="1" si="48"/>
        <v>0</v>
      </c>
      <c r="AW46" s="209">
        <f t="shared" ca="1" si="48"/>
        <v>0</v>
      </c>
      <c r="AX46" s="209">
        <f t="shared" ca="1" si="48"/>
        <v>1</v>
      </c>
      <c r="AY46" s="209">
        <f t="shared" ca="1" si="48"/>
        <v>0</v>
      </c>
      <c r="AZ46" s="209">
        <f t="shared" ca="1" si="48"/>
        <v>0</v>
      </c>
      <c r="BA46" s="209">
        <f t="shared" ca="1" si="48"/>
        <v>0</v>
      </c>
      <c r="BB46" s="209">
        <f t="shared" ca="1" si="48"/>
        <v>0</v>
      </c>
      <c r="BC46" s="209">
        <f t="shared" ca="1" si="48"/>
        <v>0</v>
      </c>
      <c r="BD46" s="209">
        <f t="shared" ca="1" si="48"/>
        <v>1</v>
      </c>
      <c r="BE46" s="209">
        <f t="shared" ca="1" si="48"/>
        <v>0</v>
      </c>
      <c r="BF46" s="209">
        <f t="shared" ca="1" si="48"/>
        <v>0</v>
      </c>
      <c r="BG46" s="209">
        <f t="shared" ca="1" si="48"/>
        <v>0</v>
      </c>
    </row>
    <row r="47" spans="1:59" hidden="1">
      <c r="A47" s="280"/>
      <c r="B47" s="281"/>
      <c r="C47" s="281"/>
      <c r="D47" s="281"/>
      <c r="E47" s="281"/>
      <c r="F47" s="281"/>
      <c r="G47" s="281"/>
      <c r="H47" s="209"/>
      <c r="I47" s="209"/>
      <c r="J47" s="209"/>
      <c r="K47" s="209"/>
      <c r="L47" s="209"/>
      <c r="M47" s="209"/>
      <c r="N47" s="209"/>
      <c r="O47" s="209"/>
      <c r="P47" s="209"/>
      <c r="Q47" s="209"/>
      <c r="R47" s="209"/>
      <c r="S47" s="209"/>
      <c r="T47" s="209"/>
      <c r="U47" s="209"/>
      <c r="V47" s="209"/>
      <c r="W47" s="209"/>
      <c r="X47" s="209"/>
      <c r="Y47" s="209"/>
      <c r="Z47" s="209"/>
      <c r="AA47" s="209"/>
      <c r="AB47" s="209"/>
      <c r="AC47" s="209"/>
      <c r="AD47" s="209"/>
      <c r="AE47" s="209"/>
      <c r="AF47" s="209"/>
      <c r="AG47" s="209"/>
      <c r="AH47" s="209"/>
      <c r="AI47" s="209"/>
      <c r="AJ47" s="209"/>
      <c r="AK47" s="209"/>
      <c r="AL47" s="209"/>
      <c r="AM47" s="209"/>
      <c r="AN47" s="209"/>
      <c r="AO47" s="209"/>
      <c r="AP47" s="209"/>
      <c r="AQ47" s="209"/>
      <c r="AR47" s="209"/>
      <c r="AS47" s="209"/>
      <c r="AT47" s="209"/>
      <c r="AU47" s="209"/>
      <c r="AV47" s="209"/>
      <c r="AW47" s="209"/>
      <c r="AX47" s="209"/>
      <c r="AY47" s="209"/>
      <c r="AZ47" s="209"/>
      <c r="BA47" s="209"/>
      <c r="BB47" s="209"/>
      <c r="BC47" s="209"/>
      <c r="BD47" s="209"/>
      <c r="BE47" s="209"/>
      <c r="BF47" s="209"/>
      <c r="BG47" s="209"/>
    </row>
    <row r="48" spans="1:59" hidden="1">
      <c r="A48" s="295" t="s">
        <v>437</v>
      </c>
      <c r="B48" s="281"/>
      <c r="C48" s="281"/>
      <c r="D48" s="281"/>
      <c r="E48" s="281"/>
      <c r="F48" s="281"/>
      <c r="G48" s="281"/>
      <c r="H48" s="209">
        <f t="shared" ref="H48" si="49">IF(SUM(G44,H49)&gt;0,1,0)</f>
        <v>0</v>
      </c>
      <c r="I48" s="209">
        <f t="shared" ref="I48" ca="1" si="50">IF(SUM(H44,I49)&gt;0,1,0)</f>
        <v>0</v>
      </c>
      <c r="J48" s="209">
        <f t="shared" ref="J48" ca="1" si="51">IF(SUM(I44,J49)&gt;0,1,0)</f>
        <v>0</v>
      </c>
      <c r="K48" s="209">
        <f t="shared" ref="K48" ca="1" si="52">IF(SUM(J44,K49)&gt;0,1,0)</f>
        <v>0</v>
      </c>
      <c r="L48" s="209">
        <f t="shared" ref="L48" ca="1" si="53">IF(SUM(K44,L49)&gt;0,1,0)</f>
        <v>0</v>
      </c>
      <c r="M48" s="209">
        <f t="shared" ref="M48" ca="1" si="54">IF(SUM(L44,M49)&gt;0,1,0)</f>
        <v>0</v>
      </c>
      <c r="N48" s="209">
        <f t="shared" ref="N48" ca="1" si="55">IF(SUM(M44,N49)&gt;0,1,0)</f>
        <v>0</v>
      </c>
      <c r="O48" s="209">
        <f t="shared" ref="O48" ca="1" si="56">IF(SUM(N44,O49)&gt;0,1,0)</f>
        <v>0</v>
      </c>
      <c r="P48" s="209">
        <f t="shared" ref="P48" ca="1" si="57">IF(SUM(O44,P49)&gt;0,1,0)</f>
        <v>0</v>
      </c>
      <c r="Q48" s="209">
        <f t="shared" ref="Q48" ca="1" si="58">IF(SUM(P44,Q49)&gt;0,1,0)</f>
        <v>0</v>
      </c>
      <c r="R48" s="209">
        <f t="shared" ref="R48" ca="1" si="59">IF(SUM(Q44,R49)&gt;0,1,0)</f>
        <v>0</v>
      </c>
      <c r="S48" s="209">
        <f t="shared" ref="S48" ca="1" si="60">IF(SUM(R44,S49)&gt;0,1,0)</f>
        <v>0</v>
      </c>
      <c r="T48" s="209">
        <f t="shared" ref="T48" ca="1" si="61">IF(SUM(S44,T49)&gt;0,1,0)</f>
        <v>0</v>
      </c>
      <c r="U48" s="209">
        <f t="shared" ref="U48" ca="1" si="62">IF(SUM(T44,U49)&gt;0,1,0)</f>
        <v>0</v>
      </c>
      <c r="V48" s="209">
        <f t="shared" ref="V48" ca="1" si="63">IF(SUM(U44,V49)&gt;0,1,0)</f>
        <v>1</v>
      </c>
      <c r="W48" s="209">
        <f t="shared" ref="W48" ca="1" si="64">IF(SUM(V44,W49)&gt;0,1,0)</f>
        <v>1</v>
      </c>
      <c r="X48" s="209">
        <f t="shared" ref="X48" ca="1" si="65">IF(SUM(W44,X49)&gt;0,1,0)</f>
        <v>1</v>
      </c>
      <c r="Y48" s="209">
        <f t="shared" ref="Y48" ca="1" si="66">IF(SUM(X44,Y49)&gt;0,1,0)</f>
        <v>0</v>
      </c>
      <c r="Z48" s="209">
        <f t="shared" ref="Z48" ca="1" si="67">IF(SUM(Y44,Z49)&gt;0,1,0)</f>
        <v>0</v>
      </c>
      <c r="AA48" s="209">
        <f t="shared" ref="AA48" ca="1" si="68">IF(SUM(Z44,AA49)&gt;0,1,0)</f>
        <v>0</v>
      </c>
      <c r="AB48" s="209">
        <f t="shared" ref="AB48" ca="1" si="69">IF(SUM(AA44,AB49)&gt;0,1,0)</f>
        <v>1</v>
      </c>
      <c r="AC48" s="209">
        <f t="shared" ref="AC48" ca="1" si="70">IF(SUM(AB44,AC49)&gt;0,1,0)</f>
        <v>1</v>
      </c>
      <c r="AD48" s="209">
        <f t="shared" ref="AD48" ca="1" si="71">IF(SUM(AC44,AD49)&gt;0,1,0)</f>
        <v>1</v>
      </c>
      <c r="AE48" s="209">
        <f t="shared" ref="AE48" ca="1" si="72">IF(SUM(AD44,AE49)&gt;0,1,0)</f>
        <v>0</v>
      </c>
      <c r="AF48" s="209">
        <f t="shared" ref="AF48" ca="1" si="73">IF(SUM(AE44,AF49)&gt;0,1,0)</f>
        <v>0</v>
      </c>
      <c r="AG48" s="209">
        <f t="shared" ref="AG48" ca="1" si="74">IF(SUM(AF44,AG49)&gt;0,1,0)</f>
        <v>0</v>
      </c>
      <c r="AH48" s="209">
        <f t="shared" ref="AH48" ca="1" si="75">IF(SUM(AG44,AH49)&gt;0,1,0)</f>
        <v>1</v>
      </c>
      <c r="AI48" s="209">
        <f t="shared" ref="AI48" ca="1" si="76">IF(SUM(AH44,AI49)&gt;0,1,0)</f>
        <v>1</v>
      </c>
      <c r="AJ48" s="209">
        <f t="shared" ref="AJ48" ca="1" si="77">IF(SUM(AI44,AJ49)&gt;0,1,0)</f>
        <v>1</v>
      </c>
      <c r="AK48" s="209">
        <f t="shared" ref="AK48" ca="1" si="78">IF(SUM(AJ44,AK49)&gt;0,1,0)</f>
        <v>0</v>
      </c>
      <c r="AL48" s="209">
        <f t="shared" ref="AL48" ca="1" si="79">IF(SUM(AK44,AL49)&gt;0,1,0)</f>
        <v>0</v>
      </c>
      <c r="AM48" s="209">
        <f t="shared" ref="AM48" ca="1" si="80">IF(SUM(AL44,AM49)&gt;0,1,0)</f>
        <v>0</v>
      </c>
      <c r="AN48" s="209">
        <f t="shared" ref="AN48" ca="1" si="81">IF(SUM(AM44,AN49)&gt;0,1,0)</f>
        <v>1</v>
      </c>
      <c r="AO48" s="209">
        <f t="shared" ref="AO48" ca="1" si="82">IF(SUM(AN44,AO49)&gt;0,1,0)</f>
        <v>1</v>
      </c>
      <c r="AP48" s="209">
        <f t="shared" ref="AP48" ca="1" si="83">IF(SUM(AO44,AP49)&gt;0,1,0)</f>
        <v>1</v>
      </c>
      <c r="AQ48" s="209">
        <f t="shared" ref="AQ48" ca="1" si="84">IF(SUM(AP44,AQ49)&gt;0,1,0)</f>
        <v>0</v>
      </c>
      <c r="AR48" s="209">
        <f t="shared" ref="AR48" ca="1" si="85">IF(SUM(AQ44,AR49)&gt;0,1,0)</f>
        <v>0</v>
      </c>
      <c r="AS48" s="209">
        <f t="shared" ref="AS48" ca="1" si="86">IF(SUM(AR44,AS49)&gt;0,1,0)</f>
        <v>0</v>
      </c>
      <c r="AT48" s="209">
        <f t="shared" ref="AT48" ca="1" si="87">IF(SUM(AS44,AT49)&gt;0,1,0)</f>
        <v>1</v>
      </c>
      <c r="AU48" s="209">
        <f t="shared" ref="AU48" ca="1" si="88">IF(SUM(AT44,AU49)&gt;0,1,0)</f>
        <v>1</v>
      </c>
      <c r="AV48" s="209">
        <f t="shared" ref="AV48" ca="1" si="89">IF(SUM(AU44,AV49)&gt;0,1,0)</f>
        <v>1</v>
      </c>
      <c r="AW48" s="209">
        <f t="shared" ref="AW48" ca="1" si="90">IF(SUM(AV44,AW49)&gt;0,1,0)</f>
        <v>0</v>
      </c>
      <c r="AX48" s="209">
        <f t="shared" ref="AX48" ca="1" si="91">IF(SUM(AW44,AX49)&gt;0,1,0)</f>
        <v>0</v>
      </c>
      <c r="AY48" s="209">
        <f t="shared" ref="AY48" ca="1" si="92">IF(SUM(AX44,AY49)&gt;0,1,0)</f>
        <v>0</v>
      </c>
      <c r="AZ48" s="209">
        <f t="shared" ref="AZ48" ca="1" si="93">IF(SUM(AY44,AZ49)&gt;0,1,0)</f>
        <v>1</v>
      </c>
      <c r="BA48" s="209">
        <f t="shared" ref="BA48" ca="1" si="94">IF(SUM(AZ44,BA49)&gt;0,1,0)</f>
        <v>1</v>
      </c>
      <c r="BB48" s="209">
        <f t="shared" ref="BB48" ca="1" si="95">IF(SUM(BA44,BB49)&gt;0,1,0)</f>
        <v>1</v>
      </c>
      <c r="BC48" s="209">
        <f t="shared" ref="BC48" ca="1" si="96">IF(SUM(BB44,BC49)&gt;0,1,0)</f>
        <v>0</v>
      </c>
      <c r="BD48" s="209">
        <f t="shared" ref="BD48" ca="1" si="97">IF(SUM(BC44,BD49)&gt;0,1,0)</f>
        <v>0</v>
      </c>
      <c r="BE48" s="209">
        <f t="shared" ref="BE48" ca="1" si="98">IF(SUM(BD44,BE49)&gt;0,1,0)</f>
        <v>0</v>
      </c>
      <c r="BF48" s="209">
        <f t="shared" ref="BF48" ca="1" si="99">IF(SUM(BE44,BF49)&gt;0,1,0)</f>
        <v>0</v>
      </c>
      <c r="BG48" s="209">
        <f ca="1">IF(SUM(BF44,BG49)&gt;0,1,0)</f>
        <v>0</v>
      </c>
    </row>
    <row r="49" spans="1:59" hidden="1">
      <c r="A49" s="326" t="s">
        <v>538</v>
      </c>
      <c r="B49" s="281"/>
      <c r="C49" s="281"/>
      <c r="D49" s="281"/>
      <c r="E49" s="281"/>
      <c r="F49" s="281"/>
      <c r="G49" s="281"/>
      <c r="H49" s="209">
        <f t="shared" ref="H49:AD49" si="100">IF(G44=1,$C$41,IF(G49&gt;0,G49-1,0))</f>
        <v>0</v>
      </c>
      <c r="I49" s="209">
        <f ca="1">IF(H44=1,$C$41,IF(H49&gt;0,H49-1,0))</f>
        <v>0</v>
      </c>
      <c r="J49" s="209">
        <f t="shared" ca="1" si="100"/>
        <v>0</v>
      </c>
      <c r="K49" s="209">
        <f t="shared" ca="1" si="100"/>
        <v>0</v>
      </c>
      <c r="L49" s="209">
        <f t="shared" ca="1" si="100"/>
        <v>0</v>
      </c>
      <c r="M49" s="209">
        <f t="shared" ca="1" si="100"/>
        <v>0</v>
      </c>
      <c r="N49" s="209">
        <f t="shared" ca="1" si="100"/>
        <v>0</v>
      </c>
      <c r="O49" s="209">
        <f t="shared" ca="1" si="100"/>
        <v>0</v>
      </c>
      <c r="P49" s="209">
        <f t="shared" ca="1" si="100"/>
        <v>0</v>
      </c>
      <c r="Q49" s="209">
        <f t="shared" ca="1" si="100"/>
        <v>0</v>
      </c>
      <c r="R49" s="209">
        <f t="shared" ca="1" si="100"/>
        <v>0</v>
      </c>
      <c r="S49" s="209">
        <f t="shared" ca="1" si="100"/>
        <v>0</v>
      </c>
      <c r="T49" s="209">
        <f t="shared" ca="1" si="100"/>
        <v>0</v>
      </c>
      <c r="U49" s="209">
        <f t="shared" ca="1" si="100"/>
        <v>0</v>
      </c>
      <c r="V49" s="209">
        <f t="shared" ca="1" si="100"/>
        <v>3</v>
      </c>
      <c r="W49" s="209">
        <f t="shared" ca="1" si="100"/>
        <v>2</v>
      </c>
      <c r="X49" s="209">
        <f t="shared" ca="1" si="100"/>
        <v>1</v>
      </c>
      <c r="Y49" s="209">
        <f t="shared" ca="1" si="100"/>
        <v>0</v>
      </c>
      <c r="Z49" s="209">
        <f t="shared" ca="1" si="100"/>
        <v>0</v>
      </c>
      <c r="AA49" s="209">
        <f t="shared" ca="1" si="100"/>
        <v>0</v>
      </c>
      <c r="AB49" s="209">
        <f t="shared" ca="1" si="100"/>
        <v>3</v>
      </c>
      <c r="AC49" s="209">
        <f t="shared" ca="1" si="100"/>
        <v>2</v>
      </c>
      <c r="AD49" s="209">
        <f t="shared" ca="1" si="100"/>
        <v>1</v>
      </c>
      <c r="AE49" s="209">
        <f t="shared" ref="AE49:BG49" ca="1" si="101">IF(AD44=1,$C$41,IF(AD49&gt;0,AD49-1,0))</f>
        <v>0</v>
      </c>
      <c r="AF49" s="209">
        <f t="shared" ca="1" si="101"/>
        <v>0</v>
      </c>
      <c r="AG49" s="209">
        <f t="shared" ca="1" si="101"/>
        <v>0</v>
      </c>
      <c r="AH49" s="209">
        <f t="shared" ca="1" si="101"/>
        <v>3</v>
      </c>
      <c r="AI49" s="209">
        <f t="shared" ca="1" si="101"/>
        <v>2</v>
      </c>
      <c r="AJ49" s="209">
        <f t="shared" ca="1" si="101"/>
        <v>1</v>
      </c>
      <c r="AK49" s="209">
        <f t="shared" ca="1" si="101"/>
        <v>0</v>
      </c>
      <c r="AL49" s="209">
        <f t="shared" ca="1" si="101"/>
        <v>0</v>
      </c>
      <c r="AM49" s="209">
        <f t="shared" ca="1" si="101"/>
        <v>0</v>
      </c>
      <c r="AN49" s="209">
        <f t="shared" ca="1" si="101"/>
        <v>3</v>
      </c>
      <c r="AO49" s="209">
        <f t="shared" ca="1" si="101"/>
        <v>2</v>
      </c>
      <c r="AP49" s="209">
        <f t="shared" ca="1" si="101"/>
        <v>1</v>
      </c>
      <c r="AQ49" s="209">
        <f t="shared" ca="1" si="101"/>
        <v>0</v>
      </c>
      <c r="AR49" s="209">
        <f t="shared" ca="1" si="101"/>
        <v>0</v>
      </c>
      <c r="AS49" s="209">
        <f t="shared" ca="1" si="101"/>
        <v>0</v>
      </c>
      <c r="AT49" s="209">
        <f t="shared" ca="1" si="101"/>
        <v>3</v>
      </c>
      <c r="AU49" s="209">
        <f t="shared" ca="1" si="101"/>
        <v>2</v>
      </c>
      <c r="AV49" s="209">
        <f t="shared" ca="1" si="101"/>
        <v>1</v>
      </c>
      <c r="AW49" s="209">
        <f t="shared" ca="1" si="101"/>
        <v>0</v>
      </c>
      <c r="AX49" s="209">
        <f t="shared" ca="1" si="101"/>
        <v>0</v>
      </c>
      <c r="AY49" s="209">
        <f t="shared" ca="1" si="101"/>
        <v>0</v>
      </c>
      <c r="AZ49" s="209">
        <f t="shared" ca="1" si="101"/>
        <v>3</v>
      </c>
      <c r="BA49" s="209">
        <f t="shared" ca="1" si="101"/>
        <v>2</v>
      </c>
      <c r="BB49" s="209">
        <f t="shared" ca="1" si="101"/>
        <v>1</v>
      </c>
      <c r="BC49" s="209">
        <f t="shared" ca="1" si="101"/>
        <v>0</v>
      </c>
      <c r="BD49" s="209">
        <f t="shared" ca="1" si="101"/>
        <v>0</v>
      </c>
      <c r="BE49" s="209">
        <f t="shared" ca="1" si="101"/>
        <v>0</v>
      </c>
      <c r="BF49" s="209">
        <f t="shared" ca="1" si="101"/>
        <v>0</v>
      </c>
      <c r="BG49" s="209">
        <f t="shared" ca="1" si="101"/>
        <v>0</v>
      </c>
    </row>
    <row r="50" spans="1:59" hidden="1">
      <c r="A50" s="326"/>
      <c r="B50" s="281"/>
      <c r="C50" s="281"/>
      <c r="D50" s="281"/>
      <c r="E50" s="281"/>
      <c r="F50" s="281"/>
      <c r="G50" s="281"/>
      <c r="H50" s="209"/>
      <c r="I50" s="209"/>
      <c r="J50" s="209"/>
      <c r="K50" s="209"/>
      <c r="L50" s="209"/>
      <c r="M50" s="209"/>
      <c r="N50" s="209"/>
      <c r="O50" s="209"/>
      <c r="P50" s="209"/>
      <c r="Q50" s="209"/>
      <c r="R50" s="209"/>
      <c r="S50" s="209"/>
      <c r="T50" s="209"/>
      <c r="U50" s="209"/>
      <c r="V50" s="209"/>
      <c r="W50" s="209"/>
      <c r="X50" s="209"/>
      <c r="Y50" s="209"/>
      <c r="Z50" s="209"/>
      <c r="AA50" s="209"/>
      <c r="AB50" s="209"/>
      <c r="AC50" s="209"/>
      <c r="AD50" s="209"/>
      <c r="AE50" s="209"/>
      <c r="AF50" s="209"/>
      <c r="AG50" s="209"/>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c r="BD50" s="209"/>
      <c r="BE50" s="209"/>
      <c r="BF50" s="209"/>
      <c r="BG50" s="209"/>
    </row>
    <row r="51" spans="1:59" hidden="1">
      <c r="A51" s="326" t="s">
        <v>539</v>
      </c>
      <c r="B51" s="281"/>
      <c r="C51" s="281"/>
      <c r="D51" s="281"/>
      <c r="E51" s="281"/>
      <c r="F51" s="281"/>
      <c r="G51" s="281"/>
      <c r="H51" s="209">
        <f ca="1">H44</f>
        <v>0</v>
      </c>
      <c r="I51" s="209">
        <f t="shared" ref="I51:BG51" ca="1" si="102">I44</f>
        <v>0</v>
      </c>
      <c r="J51" s="209">
        <f t="shared" ca="1" si="102"/>
        <v>0</v>
      </c>
      <c r="K51" s="209">
        <f t="shared" ca="1" si="102"/>
        <v>0</v>
      </c>
      <c r="L51" s="209">
        <f t="shared" ca="1" si="102"/>
        <v>0</v>
      </c>
      <c r="M51" s="209">
        <f t="shared" ca="1" si="102"/>
        <v>0</v>
      </c>
      <c r="N51" s="209">
        <f t="shared" ca="1" si="102"/>
        <v>0</v>
      </c>
      <c r="O51" s="209">
        <f t="shared" ca="1" si="102"/>
        <v>0</v>
      </c>
      <c r="P51" s="209">
        <f t="shared" ca="1" si="102"/>
        <v>0</v>
      </c>
      <c r="Q51" s="209">
        <f t="shared" ca="1" si="102"/>
        <v>0</v>
      </c>
      <c r="R51" s="209">
        <f t="shared" ca="1" si="102"/>
        <v>0</v>
      </c>
      <c r="S51" s="209">
        <f t="shared" ca="1" si="102"/>
        <v>0</v>
      </c>
      <c r="T51" s="209">
        <f t="shared" ca="1" si="102"/>
        <v>0</v>
      </c>
      <c r="U51" s="209">
        <f t="shared" ca="1" si="102"/>
        <v>1</v>
      </c>
      <c r="V51" s="209">
        <f t="shared" ca="1" si="102"/>
        <v>0</v>
      </c>
      <c r="W51" s="209">
        <f t="shared" ca="1" si="102"/>
        <v>0</v>
      </c>
      <c r="X51" s="209">
        <f t="shared" ca="1" si="102"/>
        <v>0</v>
      </c>
      <c r="Y51" s="209">
        <f t="shared" ca="1" si="102"/>
        <v>0</v>
      </c>
      <c r="Z51" s="209">
        <f t="shared" ca="1" si="102"/>
        <v>0</v>
      </c>
      <c r="AA51" s="209">
        <f t="shared" ca="1" si="102"/>
        <v>1</v>
      </c>
      <c r="AB51" s="209">
        <f t="shared" ca="1" si="102"/>
        <v>0</v>
      </c>
      <c r="AC51" s="209">
        <f t="shared" ca="1" si="102"/>
        <v>0</v>
      </c>
      <c r="AD51" s="209">
        <f t="shared" ca="1" si="102"/>
        <v>0</v>
      </c>
      <c r="AE51" s="209">
        <f t="shared" ca="1" si="102"/>
        <v>0</v>
      </c>
      <c r="AF51" s="209">
        <f t="shared" ca="1" si="102"/>
        <v>0</v>
      </c>
      <c r="AG51" s="209">
        <f t="shared" ca="1" si="102"/>
        <v>1</v>
      </c>
      <c r="AH51" s="209">
        <f t="shared" ca="1" si="102"/>
        <v>0</v>
      </c>
      <c r="AI51" s="209">
        <f t="shared" ca="1" si="102"/>
        <v>0</v>
      </c>
      <c r="AJ51" s="209">
        <f t="shared" ca="1" si="102"/>
        <v>0</v>
      </c>
      <c r="AK51" s="209">
        <f t="shared" ca="1" si="102"/>
        <v>0</v>
      </c>
      <c r="AL51" s="209">
        <f t="shared" ca="1" si="102"/>
        <v>0</v>
      </c>
      <c r="AM51" s="209">
        <f t="shared" ca="1" si="102"/>
        <v>1</v>
      </c>
      <c r="AN51" s="209">
        <f t="shared" ca="1" si="102"/>
        <v>0</v>
      </c>
      <c r="AO51" s="209">
        <f t="shared" ca="1" si="102"/>
        <v>0</v>
      </c>
      <c r="AP51" s="209">
        <f t="shared" ca="1" si="102"/>
        <v>0</v>
      </c>
      <c r="AQ51" s="209">
        <f t="shared" ca="1" si="102"/>
        <v>0</v>
      </c>
      <c r="AR51" s="209">
        <f t="shared" ca="1" si="102"/>
        <v>0</v>
      </c>
      <c r="AS51" s="209">
        <f t="shared" ca="1" si="102"/>
        <v>1</v>
      </c>
      <c r="AT51" s="209">
        <f t="shared" ca="1" si="102"/>
        <v>0</v>
      </c>
      <c r="AU51" s="209">
        <f t="shared" ca="1" si="102"/>
        <v>0</v>
      </c>
      <c r="AV51" s="209">
        <f t="shared" ca="1" si="102"/>
        <v>0</v>
      </c>
      <c r="AW51" s="209">
        <f t="shared" ca="1" si="102"/>
        <v>0</v>
      </c>
      <c r="AX51" s="209">
        <f t="shared" ca="1" si="102"/>
        <v>0</v>
      </c>
      <c r="AY51" s="209">
        <f t="shared" ca="1" si="102"/>
        <v>1</v>
      </c>
      <c r="AZ51" s="209">
        <f t="shared" ca="1" si="102"/>
        <v>0</v>
      </c>
      <c r="BA51" s="209">
        <f t="shared" ca="1" si="102"/>
        <v>0</v>
      </c>
      <c r="BB51" s="209">
        <f t="shared" ca="1" si="102"/>
        <v>0</v>
      </c>
      <c r="BC51" s="209">
        <f t="shared" ca="1" si="102"/>
        <v>0</v>
      </c>
      <c r="BD51" s="209">
        <f t="shared" ca="1" si="102"/>
        <v>0</v>
      </c>
      <c r="BE51" s="209">
        <f t="shared" ca="1" si="102"/>
        <v>0</v>
      </c>
      <c r="BF51" s="209">
        <f t="shared" ca="1" si="102"/>
        <v>0</v>
      </c>
      <c r="BG51" s="209">
        <f t="shared" ca="1" si="102"/>
        <v>0</v>
      </c>
    </row>
    <row r="52" spans="1:59" hidden="1">
      <c r="A52" s="326" t="s">
        <v>540</v>
      </c>
      <c r="B52" s="281"/>
      <c r="C52" s="281"/>
      <c r="D52" s="281"/>
      <c r="E52" s="281"/>
      <c r="F52" s="281"/>
      <c r="G52" s="281"/>
      <c r="H52" s="209">
        <f>H45</f>
        <v>0</v>
      </c>
      <c r="I52" s="209">
        <f t="shared" ref="I52:BG52" si="103">I45</f>
        <v>0</v>
      </c>
      <c r="J52" s="209">
        <f t="shared" ca="1" si="103"/>
        <v>0</v>
      </c>
      <c r="K52" s="209">
        <f t="shared" ca="1" si="103"/>
        <v>0</v>
      </c>
      <c r="L52" s="209">
        <f t="shared" ca="1" si="103"/>
        <v>0</v>
      </c>
      <c r="M52" s="209">
        <f t="shared" ca="1" si="103"/>
        <v>0</v>
      </c>
      <c r="N52" s="209">
        <f t="shared" ca="1" si="103"/>
        <v>0</v>
      </c>
      <c r="O52" s="209">
        <f t="shared" ca="1" si="103"/>
        <v>0</v>
      </c>
      <c r="P52" s="209">
        <f t="shared" ca="1" si="103"/>
        <v>0</v>
      </c>
      <c r="Q52" s="209">
        <f t="shared" ca="1" si="103"/>
        <v>0</v>
      </c>
      <c r="R52" s="209">
        <f t="shared" ca="1" si="103"/>
        <v>0</v>
      </c>
      <c r="S52" s="209">
        <f t="shared" ca="1" si="103"/>
        <v>0</v>
      </c>
      <c r="T52" s="209">
        <f t="shared" ca="1" si="103"/>
        <v>0</v>
      </c>
      <c r="U52" s="209">
        <f t="shared" ca="1" si="103"/>
        <v>0</v>
      </c>
      <c r="V52" s="209">
        <f t="shared" ca="1" si="103"/>
        <v>0</v>
      </c>
      <c r="W52" s="209">
        <f t="shared" ca="1" si="103"/>
        <v>0</v>
      </c>
      <c r="X52" s="209">
        <f t="shared" ca="1" si="103"/>
        <v>0</v>
      </c>
      <c r="Y52" s="209">
        <f t="shared" ca="1" si="103"/>
        <v>1</v>
      </c>
      <c r="Z52" s="209">
        <f t="shared" ca="1" si="103"/>
        <v>0</v>
      </c>
      <c r="AA52" s="209">
        <f t="shared" ca="1" si="103"/>
        <v>0</v>
      </c>
      <c r="AB52" s="209">
        <f t="shared" ca="1" si="103"/>
        <v>0</v>
      </c>
      <c r="AC52" s="209">
        <f t="shared" ca="1" si="103"/>
        <v>0</v>
      </c>
      <c r="AD52" s="209">
        <f t="shared" ca="1" si="103"/>
        <v>0</v>
      </c>
      <c r="AE52" s="209">
        <f t="shared" ca="1" si="103"/>
        <v>1</v>
      </c>
      <c r="AF52" s="209">
        <f t="shared" ca="1" si="103"/>
        <v>0</v>
      </c>
      <c r="AG52" s="209">
        <f t="shared" ca="1" si="103"/>
        <v>0</v>
      </c>
      <c r="AH52" s="209">
        <f t="shared" ca="1" si="103"/>
        <v>0</v>
      </c>
      <c r="AI52" s="209">
        <f t="shared" ca="1" si="103"/>
        <v>0</v>
      </c>
      <c r="AJ52" s="209">
        <f t="shared" ca="1" si="103"/>
        <v>0</v>
      </c>
      <c r="AK52" s="209">
        <f t="shared" ca="1" si="103"/>
        <v>1</v>
      </c>
      <c r="AL52" s="209">
        <f t="shared" ca="1" si="103"/>
        <v>0</v>
      </c>
      <c r="AM52" s="209">
        <f t="shared" ca="1" si="103"/>
        <v>0</v>
      </c>
      <c r="AN52" s="209">
        <f t="shared" ca="1" si="103"/>
        <v>0</v>
      </c>
      <c r="AO52" s="209">
        <f t="shared" ca="1" si="103"/>
        <v>0</v>
      </c>
      <c r="AP52" s="209">
        <f t="shared" ca="1" si="103"/>
        <v>0</v>
      </c>
      <c r="AQ52" s="209">
        <f t="shared" ca="1" si="103"/>
        <v>1</v>
      </c>
      <c r="AR52" s="209">
        <f t="shared" ca="1" si="103"/>
        <v>0</v>
      </c>
      <c r="AS52" s="209">
        <f t="shared" ca="1" si="103"/>
        <v>0</v>
      </c>
      <c r="AT52" s="209">
        <f t="shared" ca="1" si="103"/>
        <v>0</v>
      </c>
      <c r="AU52" s="209">
        <f t="shared" ca="1" si="103"/>
        <v>0</v>
      </c>
      <c r="AV52" s="209">
        <f t="shared" ca="1" si="103"/>
        <v>0</v>
      </c>
      <c r="AW52" s="209">
        <f t="shared" ca="1" si="103"/>
        <v>1</v>
      </c>
      <c r="AX52" s="209">
        <f t="shared" ca="1" si="103"/>
        <v>0</v>
      </c>
      <c r="AY52" s="209">
        <f t="shared" ca="1" si="103"/>
        <v>0</v>
      </c>
      <c r="AZ52" s="209">
        <f t="shared" ca="1" si="103"/>
        <v>0</v>
      </c>
      <c r="BA52" s="209">
        <f t="shared" ca="1" si="103"/>
        <v>0</v>
      </c>
      <c r="BB52" s="209">
        <f t="shared" ca="1" si="103"/>
        <v>0</v>
      </c>
      <c r="BC52" s="209">
        <f t="shared" ca="1" si="103"/>
        <v>1</v>
      </c>
      <c r="BD52" s="209">
        <f t="shared" ca="1" si="103"/>
        <v>0</v>
      </c>
      <c r="BE52" s="209">
        <f t="shared" ca="1" si="103"/>
        <v>0</v>
      </c>
      <c r="BF52" s="209">
        <f t="shared" ca="1" si="103"/>
        <v>0</v>
      </c>
      <c r="BG52" s="209">
        <f t="shared" ca="1" si="103"/>
        <v>0</v>
      </c>
    </row>
    <row r="53" spans="1:59" hidden="1">
      <c r="A53" s="280"/>
      <c r="B53" s="281"/>
      <c r="C53" s="281"/>
      <c r="D53" s="281"/>
      <c r="E53" s="281"/>
      <c r="F53" s="281"/>
      <c r="G53" s="281"/>
      <c r="H53" s="209"/>
      <c r="I53" s="209"/>
      <c r="J53" s="209"/>
      <c r="K53" s="209"/>
      <c r="L53" s="209"/>
      <c r="M53" s="209"/>
      <c r="N53" s="209"/>
      <c r="O53" s="209"/>
      <c r="P53" s="209"/>
      <c r="Q53" s="209"/>
      <c r="R53" s="209"/>
      <c r="S53" s="209"/>
      <c r="T53" s="209"/>
      <c r="U53" s="209"/>
      <c r="V53" s="209"/>
      <c r="W53" s="209"/>
      <c r="X53" s="209"/>
      <c r="Y53" s="209"/>
      <c r="Z53" s="209"/>
      <c r="AA53" s="209"/>
      <c r="AB53" s="209"/>
      <c r="AC53" s="209"/>
      <c r="AD53" s="209"/>
      <c r="AE53" s="209"/>
      <c r="AF53" s="209"/>
      <c r="AG53" s="209"/>
      <c r="AH53" s="209"/>
      <c r="AI53" s="209"/>
      <c r="AJ53" s="209"/>
      <c r="AK53" s="209"/>
      <c r="AL53" s="209"/>
      <c r="AM53" s="209"/>
      <c r="AN53" s="209"/>
      <c r="AO53" s="209"/>
      <c r="AP53" s="209"/>
      <c r="AQ53" s="209"/>
      <c r="AR53" s="209"/>
      <c r="AS53" s="209"/>
      <c r="AT53" s="209"/>
      <c r="AU53" s="209"/>
      <c r="AV53" s="209"/>
      <c r="AW53" s="209"/>
      <c r="AX53" s="209"/>
      <c r="AY53" s="209"/>
      <c r="AZ53" s="209"/>
      <c r="BA53" s="209"/>
      <c r="BB53" s="209"/>
      <c r="BC53" s="209"/>
      <c r="BD53" s="209"/>
      <c r="BE53" s="209"/>
      <c r="BF53" s="209"/>
      <c r="BG53" s="209"/>
    </row>
    <row r="54" spans="1:59" hidden="1">
      <c r="A54" s="296" t="s">
        <v>461</v>
      </c>
      <c r="B54" s="297"/>
      <c r="C54" s="297"/>
      <c r="D54" s="297"/>
      <c r="E54" s="297"/>
      <c r="F54" s="297"/>
      <c r="G54" s="297"/>
      <c r="H54" s="209"/>
      <c r="I54" s="209"/>
      <c r="J54" s="209"/>
      <c r="K54" s="209"/>
      <c r="L54" s="209"/>
      <c r="M54" s="209"/>
      <c r="N54" s="209"/>
      <c r="O54" s="209"/>
      <c r="P54" s="209"/>
      <c r="Q54" s="209"/>
      <c r="R54" s="209"/>
      <c r="S54" s="209"/>
      <c r="T54" s="209"/>
      <c r="U54" s="209"/>
      <c r="V54" s="209"/>
      <c r="W54" s="209"/>
      <c r="X54" s="209"/>
      <c r="Y54" s="209"/>
      <c r="Z54" s="209"/>
      <c r="AA54" s="209"/>
      <c r="AB54" s="209"/>
      <c r="AC54" s="209"/>
      <c r="AD54" s="209"/>
      <c r="AE54" s="209"/>
      <c r="AF54" s="209"/>
      <c r="AG54" s="209"/>
      <c r="AH54" s="209"/>
      <c r="AI54" s="209"/>
      <c r="AJ54" s="209"/>
      <c r="AK54" s="209"/>
      <c r="AL54" s="209"/>
      <c r="AM54" s="209"/>
      <c r="AN54" s="209"/>
      <c r="AO54" s="209"/>
      <c r="AP54" s="209"/>
      <c r="AQ54" s="209"/>
      <c r="AR54" s="209"/>
      <c r="AS54" s="209"/>
      <c r="AT54" s="209"/>
      <c r="AU54" s="209"/>
      <c r="AV54" s="209"/>
      <c r="AW54" s="209"/>
      <c r="AX54" s="209"/>
      <c r="AY54" s="209"/>
      <c r="AZ54" s="209"/>
      <c r="BA54" s="209"/>
      <c r="BB54" s="209"/>
      <c r="BC54" s="209"/>
      <c r="BD54" s="209"/>
      <c r="BE54" s="209"/>
      <c r="BF54" s="209"/>
      <c r="BG54" s="209"/>
    </row>
    <row r="55" spans="1:59" hidden="1">
      <c r="A55" s="280" t="s">
        <v>438</v>
      </c>
      <c r="B55" s="281" t="s">
        <v>457</v>
      </c>
      <c r="C55" s="281">
        <f>SUM('Master Tab'!$C$17:$C$18)</f>
        <v>68</v>
      </c>
      <c r="D55" s="281"/>
      <c r="E55" s="281"/>
      <c r="F55" s="281" t="s">
        <v>440</v>
      </c>
      <c r="G55" s="281">
        <f>'Master Tab'!C4</f>
        <v>1</v>
      </c>
      <c r="H55" s="282">
        <f ca="1">G55-H56</f>
        <v>0</v>
      </c>
      <c r="I55" s="282">
        <f ca="1">H55-I56</f>
        <v>0</v>
      </c>
      <c r="J55" s="282">
        <f t="shared" ref="J55:P55" ca="1" si="104">I55-J56</f>
        <v>0</v>
      </c>
      <c r="K55" s="282">
        <f t="shared" ca="1" si="104"/>
        <v>0</v>
      </c>
      <c r="L55" s="282">
        <f t="shared" ca="1" si="104"/>
        <v>0</v>
      </c>
      <c r="M55" s="282">
        <f t="shared" ca="1" si="104"/>
        <v>0</v>
      </c>
      <c r="N55" s="282">
        <f t="shared" ca="1" si="104"/>
        <v>0</v>
      </c>
      <c r="O55" s="282">
        <f t="shared" ca="1" si="104"/>
        <v>0</v>
      </c>
      <c r="P55" s="282">
        <f t="shared" ca="1" si="104"/>
        <v>0</v>
      </c>
      <c r="Q55" s="282">
        <f ca="1">P55-Q56</f>
        <v>0</v>
      </c>
      <c r="R55" s="282">
        <f ca="1">Q55-R56</f>
        <v>0</v>
      </c>
      <c r="S55" s="282">
        <f t="shared" ref="S55:BG55" ca="1" si="105">R55-S56</f>
        <v>0</v>
      </c>
      <c r="T55" s="282">
        <f t="shared" ca="1" si="105"/>
        <v>0</v>
      </c>
      <c r="U55" s="282">
        <f t="shared" ca="1" si="105"/>
        <v>0</v>
      </c>
      <c r="V55" s="282">
        <f t="shared" ca="1" si="105"/>
        <v>0</v>
      </c>
      <c r="W55" s="282">
        <f t="shared" ca="1" si="105"/>
        <v>0</v>
      </c>
      <c r="X55" s="282">
        <f t="shared" ca="1" si="105"/>
        <v>0</v>
      </c>
      <c r="Y55" s="282">
        <f t="shared" ca="1" si="105"/>
        <v>0</v>
      </c>
      <c r="Z55" s="282">
        <f t="shared" ca="1" si="105"/>
        <v>0</v>
      </c>
      <c r="AA55" s="282">
        <f t="shared" ca="1" si="105"/>
        <v>0</v>
      </c>
      <c r="AB55" s="282">
        <f t="shared" ca="1" si="105"/>
        <v>0</v>
      </c>
      <c r="AC55" s="282">
        <f t="shared" ca="1" si="105"/>
        <v>0</v>
      </c>
      <c r="AD55" s="282">
        <f t="shared" ca="1" si="105"/>
        <v>0</v>
      </c>
      <c r="AE55" s="282">
        <f t="shared" ca="1" si="105"/>
        <v>0</v>
      </c>
      <c r="AF55" s="282">
        <f t="shared" ca="1" si="105"/>
        <v>0</v>
      </c>
      <c r="AG55" s="282">
        <f t="shared" ca="1" si="105"/>
        <v>0</v>
      </c>
      <c r="AH55" s="282">
        <f t="shared" ca="1" si="105"/>
        <v>0</v>
      </c>
      <c r="AI55" s="282">
        <f t="shared" ca="1" si="105"/>
        <v>0</v>
      </c>
      <c r="AJ55" s="282">
        <f t="shared" ca="1" si="105"/>
        <v>0</v>
      </c>
      <c r="AK55" s="282">
        <f t="shared" ca="1" si="105"/>
        <v>0</v>
      </c>
      <c r="AL55" s="282">
        <f t="shared" ca="1" si="105"/>
        <v>0</v>
      </c>
      <c r="AM55" s="282">
        <f t="shared" ca="1" si="105"/>
        <v>0</v>
      </c>
      <c r="AN55" s="282">
        <f t="shared" ca="1" si="105"/>
        <v>0</v>
      </c>
      <c r="AO55" s="282">
        <f t="shared" ca="1" si="105"/>
        <v>0</v>
      </c>
      <c r="AP55" s="282">
        <f t="shared" ca="1" si="105"/>
        <v>0</v>
      </c>
      <c r="AQ55" s="282">
        <f t="shared" ca="1" si="105"/>
        <v>0</v>
      </c>
      <c r="AR55" s="282">
        <f t="shared" ca="1" si="105"/>
        <v>0</v>
      </c>
      <c r="AS55" s="282">
        <f t="shared" ca="1" si="105"/>
        <v>0</v>
      </c>
      <c r="AT55" s="282">
        <f t="shared" ca="1" si="105"/>
        <v>0</v>
      </c>
      <c r="AU55" s="282">
        <f t="shared" ca="1" si="105"/>
        <v>0</v>
      </c>
      <c r="AV55" s="282">
        <f t="shared" ca="1" si="105"/>
        <v>0</v>
      </c>
      <c r="AW55" s="282">
        <f t="shared" ca="1" si="105"/>
        <v>0</v>
      </c>
      <c r="AX55" s="282">
        <f t="shared" ca="1" si="105"/>
        <v>0</v>
      </c>
      <c r="AY55" s="282">
        <f t="shared" ca="1" si="105"/>
        <v>0</v>
      </c>
      <c r="AZ55" s="282">
        <f t="shared" ca="1" si="105"/>
        <v>0</v>
      </c>
      <c r="BA55" s="282">
        <f t="shared" ca="1" si="105"/>
        <v>0</v>
      </c>
      <c r="BB55" s="282">
        <f t="shared" ca="1" si="105"/>
        <v>0</v>
      </c>
      <c r="BC55" s="282">
        <f t="shared" ca="1" si="105"/>
        <v>0</v>
      </c>
      <c r="BD55" s="282">
        <f t="shared" ca="1" si="105"/>
        <v>0</v>
      </c>
      <c r="BE55" s="282">
        <f t="shared" ca="1" si="105"/>
        <v>0</v>
      </c>
      <c r="BF55" s="282">
        <f t="shared" ca="1" si="105"/>
        <v>0</v>
      </c>
      <c r="BG55" s="282">
        <f t="shared" ca="1" si="105"/>
        <v>0</v>
      </c>
    </row>
    <row r="56" spans="1:59" hidden="1">
      <c r="A56" s="280" t="s">
        <v>439</v>
      </c>
      <c r="B56" s="281" t="s">
        <v>458</v>
      </c>
      <c r="C56" s="281">
        <f>ROUNDUP('Master Tab'!$C$16,0)</f>
        <v>1</v>
      </c>
      <c r="D56" s="281"/>
      <c r="E56" s="281"/>
      <c r="F56" s="281"/>
      <c r="G56" s="281"/>
      <c r="H56" s="282">
        <f t="shared" ref="H56:AM56" ca="1" si="106">IF(AND(H59=G55,H57=0, G55&gt;0,H36=0),1,0)</f>
        <v>1</v>
      </c>
      <c r="I56" s="282">
        <f t="shared" ca="1" si="106"/>
        <v>0</v>
      </c>
      <c r="J56" s="282">
        <f t="shared" ca="1" si="106"/>
        <v>0</v>
      </c>
      <c r="K56" s="282">
        <f t="shared" ca="1" si="106"/>
        <v>0</v>
      </c>
      <c r="L56" s="282">
        <f t="shared" ca="1" si="106"/>
        <v>0</v>
      </c>
      <c r="M56" s="282">
        <f t="shared" ca="1" si="106"/>
        <v>0</v>
      </c>
      <c r="N56" s="282">
        <f t="shared" ca="1" si="106"/>
        <v>0</v>
      </c>
      <c r="O56" s="282">
        <f t="shared" ca="1" si="106"/>
        <v>0</v>
      </c>
      <c r="P56" s="282">
        <f t="shared" ca="1" si="106"/>
        <v>0</v>
      </c>
      <c r="Q56" s="282">
        <f t="shared" ca="1" si="106"/>
        <v>0</v>
      </c>
      <c r="R56" s="282">
        <f t="shared" ca="1" si="106"/>
        <v>0</v>
      </c>
      <c r="S56" s="282">
        <f t="shared" ca="1" si="106"/>
        <v>0</v>
      </c>
      <c r="T56" s="282">
        <f t="shared" ca="1" si="106"/>
        <v>0</v>
      </c>
      <c r="U56" s="282">
        <f t="shared" ca="1" si="106"/>
        <v>0</v>
      </c>
      <c r="V56" s="282">
        <f t="shared" ca="1" si="106"/>
        <v>0</v>
      </c>
      <c r="W56" s="282">
        <f t="shared" ca="1" si="106"/>
        <v>0</v>
      </c>
      <c r="X56" s="282">
        <f t="shared" ca="1" si="106"/>
        <v>0</v>
      </c>
      <c r="Y56" s="282">
        <f t="shared" ca="1" si="106"/>
        <v>0</v>
      </c>
      <c r="Z56" s="282">
        <f t="shared" ca="1" si="106"/>
        <v>0</v>
      </c>
      <c r="AA56" s="282">
        <f t="shared" ca="1" si="106"/>
        <v>0</v>
      </c>
      <c r="AB56" s="282">
        <f t="shared" ca="1" si="106"/>
        <v>0</v>
      </c>
      <c r="AC56" s="282">
        <f t="shared" ca="1" si="106"/>
        <v>0</v>
      </c>
      <c r="AD56" s="282">
        <f t="shared" ca="1" si="106"/>
        <v>0</v>
      </c>
      <c r="AE56" s="282">
        <f t="shared" ca="1" si="106"/>
        <v>0</v>
      </c>
      <c r="AF56" s="282">
        <f t="shared" ca="1" si="106"/>
        <v>0</v>
      </c>
      <c r="AG56" s="282">
        <f t="shared" ca="1" si="106"/>
        <v>0</v>
      </c>
      <c r="AH56" s="282">
        <f t="shared" ca="1" si="106"/>
        <v>0</v>
      </c>
      <c r="AI56" s="282">
        <f t="shared" ca="1" si="106"/>
        <v>0</v>
      </c>
      <c r="AJ56" s="282">
        <f t="shared" ca="1" si="106"/>
        <v>0</v>
      </c>
      <c r="AK56" s="282">
        <f t="shared" ca="1" si="106"/>
        <v>0</v>
      </c>
      <c r="AL56" s="282">
        <f t="shared" ca="1" si="106"/>
        <v>0</v>
      </c>
      <c r="AM56" s="282">
        <f t="shared" ca="1" si="106"/>
        <v>0</v>
      </c>
      <c r="AN56" s="282">
        <f t="shared" ref="AN56:BG56" ca="1" si="107">IF(AND(AN59=AM55,AN57=0, AM55&gt;0,AN36=0),1,0)</f>
        <v>0</v>
      </c>
      <c r="AO56" s="282">
        <f t="shared" ca="1" si="107"/>
        <v>0</v>
      </c>
      <c r="AP56" s="282">
        <f t="shared" ca="1" si="107"/>
        <v>0</v>
      </c>
      <c r="AQ56" s="282">
        <f t="shared" ca="1" si="107"/>
        <v>0</v>
      </c>
      <c r="AR56" s="282">
        <f t="shared" ca="1" si="107"/>
        <v>0</v>
      </c>
      <c r="AS56" s="282">
        <f t="shared" ca="1" si="107"/>
        <v>0</v>
      </c>
      <c r="AT56" s="282">
        <f t="shared" ca="1" si="107"/>
        <v>0</v>
      </c>
      <c r="AU56" s="282">
        <f t="shared" ca="1" si="107"/>
        <v>0</v>
      </c>
      <c r="AV56" s="282">
        <f t="shared" ca="1" si="107"/>
        <v>0</v>
      </c>
      <c r="AW56" s="282">
        <f t="shared" ca="1" si="107"/>
        <v>0</v>
      </c>
      <c r="AX56" s="282">
        <f t="shared" ca="1" si="107"/>
        <v>0</v>
      </c>
      <c r="AY56" s="282">
        <f t="shared" ca="1" si="107"/>
        <v>0</v>
      </c>
      <c r="AZ56" s="282">
        <f t="shared" ca="1" si="107"/>
        <v>0</v>
      </c>
      <c r="BA56" s="282">
        <f t="shared" ca="1" si="107"/>
        <v>0</v>
      </c>
      <c r="BB56" s="282">
        <f t="shared" ca="1" si="107"/>
        <v>0</v>
      </c>
      <c r="BC56" s="282">
        <f t="shared" ca="1" si="107"/>
        <v>0</v>
      </c>
      <c r="BD56" s="282">
        <f t="shared" ca="1" si="107"/>
        <v>0</v>
      </c>
      <c r="BE56" s="282">
        <f t="shared" ca="1" si="107"/>
        <v>0</v>
      </c>
      <c r="BF56" s="282">
        <f t="shared" ca="1" si="107"/>
        <v>0</v>
      </c>
      <c r="BG56" s="282">
        <f t="shared" ca="1" si="107"/>
        <v>0</v>
      </c>
    </row>
    <row r="57" spans="1:59" hidden="1">
      <c r="A57" s="280" t="s">
        <v>446</v>
      </c>
      <c r="B57" s="281"/>
      <c r="C57" s="281"/>
      <c r="D57" s="281"/>
      <c r="E57" s="281"/>
      <c r="F57" s="281"/>
      <c r="G57" s="281"/>
      <c r="H57" s="282">
        <f ca="1">IF(H61=1,1,0)</f>
        <v>0</v>
      </c>
      <c r="I57" s="282">
        <f t="shared" ref="I57:Q57" ca="1" si="108">IF(I61=1,1,0)</f>
        <v>0</v>
      </c>
      <c r="J57" s="282">
        <f ca="1">IF(J61=1,1,0)</f>
        <v>0</v>
      </c>
      <c r="K57" s="282">
        <f t="shared" ca="1" si="108"/>
        <v>0</v>
      </c>
      <c r="L57" s="282">
        <f t="shared" ca="1" si="108"/>
        <v>0</v>
      </c>
      <c r="M57" s="282">
        <f t="shared" ca="1" si="108"/>
        <v>0</v>
      </c>
      <c r="N57" s="282">
        <f t="shared" ca="1" si="108"/>
        <v>0</v>
      </c>
      <c r="O57" s="282">
        <f t="shared" ca="1" si="108"/>
        <v>0</v>
      </c>
      <c r="P57" s="282">
        <f t="shared" ca="1" si="108"/>
        <v>0</v>
      </c>
      <c r="Q57" s="282">
        <f t="shared" ca="1" si="108"/>
        <v>0</v>
      </c>
      <c r="R57" s="282">
        <f ca="1">IF(R61=1,1,0)</f>
        <v>0</v>
      </c>
      <c r="S57" s="282">
        <f t="shared" ref="S57:BG57" ca="1" si="109">IF(S61=1,1,0)</f>
        <v>1</v>
      </c>
      <c r="T57" s="282">
        <f t="shared" ca="1" si="109"/>
        <v>0</v>
      </c>
      <c r="U57" s="282">
        <f t="shared" ca="1" si="109"/>
        <v>0</v>
      </c>
      <c r="V57" s="282">
        <f t="shared" ca="1" si="109"/>
        <v>0</v>
      </c>
      <c r="W57" s="282">
        <f t="shared" ca="1" si="109"/>
        <v>0</v>
      </c>
      <c r="X57" s="282">
        <f t="shared" ca="1" si="109"/>
        <v>0</v>
      </c>
      <c r="Y57" s="282">
        <f t="shared" ca="1" si="109"/>
        <v>0</v>
      </c>
      <c r="Z57" s="282">
        <f t="shared" ca="1" si="109"/>
        <v>0</v>
      </c>
      <c r="AA57" s="282">
        <f t="shared" ca="1" si="109"/>
        <v>0</v>
      </c>
      <c r="AB57" s="282">
        <f t="shared" ca="1" si="109"/>
        <v>0</v>
      </c>
      <c r="AC57" s="282">
        <f t="shared" ca="1" si="109"/>
        <v>0</v>
      </c>
      <c r="AD57" s="282">
        <f t="shared" ca="1" si="109"/>
        <v>0</v>
      </c>
      <c r="AE57" s="282">
        <f t="shared" ca="1" si="109"/>
        <v>0</v>
      </c>
      <c r="AF57" s="282">
        <f t="shared" ca="1" si="109"/>
        <v>0</v>
      </c>
      <c r="AG57" s="282">
        <f t="shared" ca="1" si="109"/>
        <v>0</v>
      </c>
      <c r="AH57" s="282">
        <f t="shared" ca="1" si="109"/>
        <v>0</v>
      </c>
      <c r="AI57" s="282">
        <f t="shared" ca="1" si="109"/>
        <v>0</v>
      </c>
      <c r="AJ57" s="282">
        <f t="shared" ca="1" si="109"/>
        <v>0</v>
      </c>
      <c r="AK57" s="282">
        <f t="shared" ca="1" si="109"/>
        <v>0</v>
      </c>
      <c r="AL57" s="282">
        <f t="shared" ca="1" si="109"/>
        <v>0</v>
      </c>
      <c r="AM57" s="282">
        <f t="shared" ca="1" si="109"/>
        <v>0</v>
      </c>
      <c r="AN57" s="282">
        <f t="shared" ca="1" si="109"/>
        <v>0</v>
      </c>
      <c r="AO57" s="282">
        <f t="shared" ca="1" si="109"/>
        <v>0</v>
      </c>
      <c r="AP57" s="282">
        <f t="shared" ca="1" si="109"/>
        <v>0</v>
      </c>
      <c r="AQ57" s="282">
        <f t="shared" ca="1" si="109"/>
        <v>0</v>
      </c>
      <c r="AR57" s="282">
        <f t="shared" ca="1" si="109"/>
        <v>0</v>
      </c>
      <c r="AS57" s="282">
        <f t="shared" ca="1" si="109"/>
        <v>0</v>
      </c>
      <c r="AT57" s="282">
        <f t="shared" ca="1" si="109"/>
        <v>0</v>
      </c>
      <c r="AU57" s="282">
        <f t="shared" ca="1" si="109"/>
        <v>0</v>
      </c>
      <c r="AV57" s="282">
        <f t="shared" ca="1" si="109"/>
        <v>0</v>
      </c>
      <c r="AW57" s="282">
        <f t="shared" ca="1" si="109"/>
        <v>0</v>
      </c>
      <c r="AX57" s="282">
        <f t="shared" ca="1" si="109"/>
        <v>0</v>
      </c>
      <c r="AY57" s="282">
        <f t="shared" ca="1" si="109"/>
        <v>0</v>
      </c>
      <c r="AZ57" s="282">
        <f t="shared" ca="1" si="109"/>
        <v>0</v>
      </c>
      <c r="BA57" s="282">
        <f t="shared" ca="1" si="109"/>
        <v>0</v>
      </c>
      <c r="BB57" s="282">
        <f t="shared" ca="1" si="109"/>
        <v>0</v>
      </c>
      <c r="BC57" s="282">
        <f t="shared" ca="1" si="109"/>
        <v>0</v>
      </c>
      <c r="BD57" s="282">
        <f t="shared" ca="1" si="109"/>
        <v>0</v>
      </c>
      <c r="BE57" s="282">
        <f t="shared" ca="1" si="109"/>
        <v>0</v>
      </c>
      <c r="BF57" s="282">
        <f t="shared" ca="1" si="109"/>
        <v>0</v>
      </c>
      <c r="BG57" s="282">
        <f t="shared" ca="1" si="109"/>
        <v>0</v>
      </c>
    </row>
    <row r="58" spans="1:59" s="202" customFormat="1" hidden="1">
      <c r="A58" s="90"/>
      <c r="B58" s="90"/>
      <c r="C58" s="90"/>
      <c r="D58" s="90"/>
      <c r="E58" s="90"/>
      <c r="F58" s="90"/>
      <c r="G58" s="205"/>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210"/>
      <c r="AS58" s="210"/>
      <c r="AT58" s="210"/>
      <c r="AU58" s="210"/>
      <c r="AV58" s="210"/>
      <c r="AW58" s="210"/>
      <c r="AX58" s="210"/>
      <c r="AY58" s="210"/>
      <c r="AZ58" s="210"/>
      <c r="BA58" s="210"/>
      <c r="BB58" s="210"/>
      <c r="BC58" s="210"/>
      <c r="BD58" s="210"/>
      <c r="BE58" s="210"/>
      <c r="BF58" s="210"/>
      <c r="BG58" s="210"/>
    </row>
    <row r="59" spans="1:59" s="202" customFormat="1" hidden="1">
      <c r="A59" s="90" t="s">
        <v>441</v>
      </c>
      <c r="B59" s="90"/>
      <c r="C59" s="90"/>
      <c r="D59" s="90"/>
      <c r="E59" s="90"/>
      <c r="F59" s="90" t="s">
        <v>442</v>
      </c>
      <c r="G59" s="205">
        <f>'Master Tab'!C4</f>
        <v>1</v>
      </c>
      <c r="H59" s="210">
        <f ca="1">G59-H61</f>
        <v>1</v>
      </c>
      <c r="I59" s="210">
        <f t="shared" ref="I59:Q59" ca="1" si="110">H59-I61</f>
        <v>1</v>
      </c>
      <c r="J59" s="210">
        <f t="shared" ca="1" si="110"/>
        <v>1</v>
      </c>
      <c r="K59" s="210">
        <f t="shared" ca="1" si="110"/>
        <v>1</v>
      </c>
      <c r="L59" s="210">
        <f t="shared" ca="1" si="110"/>
        <v>1</v>
      </c>
      <c r="M59" s="210">
        <f t="shared" ca="1" si="110"/>
        <v>1</v>
      </c>
      <c r="N59" s="210">
        <f t="shared" ca="1" si="110"/>
        <v>1</v>
      </c>
      <c r="O59" s="210">
        <f t="shared" ca="1" si="110"/>
        <v>1</v>
      </c>
      <c r="P59" s="210">
        <f t="shared" ca="1" si="110"/>
        <v>1</v>
      </c>
      <c r="Q59" s="210">
        <f t="shared" ca="1" si="110"/>
        <v>1</v>
      </c>
      <c r="R59" s="210">
        <f ca="1">Q59-R61</f>
        <v>1</v>
      </c>
      <c r="S59" s="210">
        <f t="shared" ref="S59:BG59" ca="1" si="111">R59-S61</f>
        <v>0</v>
      </c>
      <c r="T59" s="210">
        <f t="shared" ca="1" si="111"/>
        <v>0</v>
      </c>
      <c r="U59" s="210">
        <f t="shared" ca="1" si="111"/>
        <v>0</v>
      </c>
      <c r="V59" s="210">
        <f t="shared" ca="1" si="111"/>
        <v>0</v>
      </c>
      <c r="W59" s="210">
        <f t="shared" ca="1" si="111"/>
        <v>0</v>
      </c>
      <c r="X59" s="210">
        <f t="shared" ca="1" si="111"/>
        <v>0</v>
      </c>
      <c r="Y59" s="210">
        <f t="shared" ca="1" si="111"/>
        <v>0</v>
      </c>
      <c r="Z59" s="210">
        <f t="shared" ca="1" si="111"/>
        <v>0</v>
      </c>
      <c r="AA59" s="210">
        <f t="shared" ca="1" si="111"/>
        <v>0</v>
      </c>
      <c r="AB59" s="210">
        <f t="shared" ca="1" si="111"/>
        <v>0</v>
      </c>
      <c r="AC59" s="210">
        <f t="shared" ca="1" si="111"/>
        <v>0</v>
      </c>
      <c r="AD59" s="210">
        <f t="shared" ca="1" si="111"/>
        <v>0</v>
      </c>
      <c r="AE59" s="210">
        <f t="shared" ca="1" si="111"/>
        <v>0</v>
      </c>
      <c r="AF59" s="210">
        <f t="shared" ca="1" si="111"/>
        <v>0</v>
      </c>
      <c r="AG59" s="210">
        <f t="shared" ca="1" si="111"/>
        <v>0</v>
      </c>
      <c r="AH59" s="210">
        <f t="shared" ca="1" si="111"/>
        <v>0</v>
      </c>
      <c r="AI59" s="210">
        <f t="shared" ca="1" si="111"/>
        <v>0</v>
      </c>
      <c r="AJ59" s="210">
        <f t="shared" ca="1" si="111"/>
        <v>0</v>
      </c>
      <c r="AK59" s="210">
        <f t="shared" ca="1" si="111"/>
        <v>0</v>
      </c>
      <c r="AL59" s="210">
        <f t="shared" ca="1" si="111"/>
        <v>0</v>
      </c>
      <c r="AM59" s="210">
        <f t="shared" ca="1" si="111"/>
        <v>0</v>
      </c>
      <c r="AN59" s="210">
        <f t="shared" ca="1" si="111"/>
        <v>0</v>
      </c>
      <c r="AO59" s="210">
        <f t="shared" ca="1" si="111"/>
        <v>0</v>
      </c>
      <c r="AP59" s="210">
        <f t="shared" ca="1" si="111"/>
        <v>0</v>
      </c>
      <c r="AQ59" s="210">
        <f t="shared" ca="1" si="111"/>
        <v>0</v>
      </c>
      <c r="AR59" s="210">
        <f t="shared" ca="1" si="111"/>
        <v>0</v>
      </c>
      <c r="AS59" s="210">
        <f t="shared" ca="1" si="111"/>
        <v>0</v>
      </c>
      <c r="AT59" s="210">
        <f t="shared" ca="1" si="111"/>
        <v>0</v>
      </c>
      <c r="AU59" s="210">
        <f t="shared" ca="1" si="111"/>
        <v>0</v>
      </c>
      <c r="AV59" s="210">
        <f t="shared" ca="1" si="111"/>
        <v>0</v>
      </c>
      <c r="AW59" s="210">
        <f t="shared" ca="1" si="111"/>
        <v>0</v>
      </c>
      <c r="AX59" s="210">
        <f t="shared" ca="1" si="111"/>
        <v>0</v>
      </c>
      <c r="AY59" s="210">
        <f t="shared" ca="1" si="111"/>
        <v>0</v>
      </c>
      <c r="AZ59" s="210">
        <f t="shared" ca="1" si="111"/>
        <v>0</v>
      </c>
      <c r="BA59" s="210">
        <f t="shared" ca="1" si="111"/>
        <v>0</v>
      </c>
      <c r="BB59" s="210">
        <f t="shared" ca="1" si="111"/>
        <v>0</v>
      </c>
      <c r="BC59" s="210">
        <f t="shared" ca="1" si="111"/>
        <v>0</v>
      </c>
      <c r="BD59" s="210">
        <f t="shared" ca="1" si="111"/>
        <v>0</v>
      </c>
      <c r="BE59" s="210">
        <f t="shared" ca="1" si="111"/>
        <v>0</v>
      </c>
      <c r="BF59" s="210">
        <f t="shared" ca="1" si="111"/>
        <v>0</v>
      </c>
      <c r="BG59" s="210">
        <f t="shared" ca="1" si="111"/>
        <v>0</v>
      </c>
    </row>
    <row r="60" spans="1:59" s="202" customFormat="1" hidden="1">
      <c r="A60" s="90" t="s">
        <v>443</v>
      </c>
      <c r="B60" s="90"/>
      <c r="C60" s="90"/>
      <c r="D60" s="90"/>
      <c r="E60" s="90"/>
      <c r="F60" s="90"/>
      <c r="G60" s="205"/>
      <c r="H60" s="210">
        <f>IF(G56=1,1,0)</f>
        <v>0</v>
      </c>
      <c r="I60" s="210">
        <f ca="1">IF(H56=1,1,0)</f>
        <v>1</v>
      </c>
      <c r="J60" s="210">
        <f t="shared" ref="J60:Q60" ca="1" si="112">IF(I56=1,1,0)</f>
        <v>0</v>
      </c>
      <c r="K60" s="210">
        <f t="shared" ca="1" si="112"/>
        <v>0</v>
      </c>
      <c r="L60" s="210">
        <f t="shared" ca="1" si="112"/>
        <v>0</v>
      </c>
      <c r="M60" s="210">
        <f t="shared" ca="1" si="112"/>
        <v>0</v>
      </c>
      <c r="N60" s="210">
        <f t="shared" ca="1" si="112"/>
        <v>0</v>
      </c>
      <c r="O60" s="210">
        <f t="shared" ca="1" si="112"/>
        <v>0</v>
      </c>
      <c r="P60" s="210">
        <f t="shared" ca="1" si="112"/>
        <v>0</v>
      </c>
      <c r="Q60" s="210">
        <f t="shared" ca="1" si="112"/>
        <v>0</v>
      </c>
      <c r="R60" s="210">
        <f t="shared" ref="R60" ca="1" si="113">IF(Q56=1,1,0)</f>
        <v>0</v>
      </c>
      <c r="S60" s="210">
        <f t="shared" ref="S60:BG60" ca="1" si="114">IF(R56=1,1,0)</f>
        <v>0</v>
      </c>
      <c r="T60" s="210">
        <f t="shared" ca="1" si="114"/>
        <v>0</v>
      </c>
      <c r="U60" s="210">
        <f t="shared" ca="1" si="114"/>
        <v>0</v>
      </c>
      <c r="V60" s="210">
        <f t="shared" ca="1" si="114"/>
        <v>0</v>
      </c>
      <c r="W60" s="210">
        <f t="shared" ca="1" si="114"/>
        <v>0</v>
      </c>
      <c r="X60" s="210">
        <f t="shared" ca="1" si="114"/>
        <v>0</v>
      </c>
      <c r="Y60" s="210">
        <f t="shared" ca="1" si="114"/>
        <v>0</v>
      </c>
      <c r="Z60" s="210">
        <f t="shared" ca="1" si="114"/>
        <v>0</v>
      </c>
      <c r="AA60" s="210">
        <f t="shared" ca="1" si="114"/>
        <v>0</v>
      </c>
      <c r="AB60" s="210">
        <f t="shared" ca="1" si="114"/>
        <v>0</v>
      </c>
      <c r="AC60" s="210">
        <f t="shared" ca="1" si="114"/>
        <v>0</v>
      </c>
      <c r="AD60" s="210">
        <f t="shared" ca="1" si="114"/>
        <v>0</v>
      </c>
      <c r="AE60" s="210">
        <f t="shared" ca="1" si="114"/>
        <v>0</v>
      </c>
      <c r="AF60" s="210">
        <f t="shared" ca="1" si="114"/>
        <v>0</v>
      </c>
      <c r="AG60" s="210">
        <f t="shared" ca="1" si="114"/>
        <v>0</v>
      </c>
      <c r="AH60" s="210">
        <f t="shared" ca="1" si="114"/>
        <v>0</v>
      </c>
      <c r="AI60" s="210">
        <f t="shared" ca="1" si="114"/>
        <v>0</v>
      </c>
      <c r="AJ60" s="210">
        <f t="shared" ca="1" si="114"/>
        <v>0</v>
      </c>
      <c r="AK60" s="210">
        <f t="shared" ca="1" si="114"/>
        <v>0</v>
      </c>
      <c r="AL60" s="210">
        <f t="shared" ca="1" si="114"/>
        <v>0</v>
      </c>
      <c r="AM60" s="210">
        <f t="shared" ca="1" si="114"/>
        <v>0</v>
      </c>
      <c r="AN60" s="210">
        <f t="shared" ca="1" si="114"/>
        <v>0</v>
      </c>
      <c r="AO60" s="210">
        <f t="shared" ca="1" si="114"/>
        <v>0</v>
      </c>
      <c r="AP60" s="210">
        <f t="shared" ca="1" si="114"/>
        <v>0</v>
      </c>
      <c r="AQ60" s="210">
        <f t="shared" ca="1" si="114"/>
        <v>0</v>
      </c>
      <c r="AR60" s="210">
        <f t="shared" ca="1" si="114"/>
        <v>0</v>
      </c>
      <c r="AS60" s="210">
        <f t="shared" ca="1" si="114"/>
        <v>0</v>
      </c>
      <c r="AT60" s="210">
        <f t="shared" ca="1" si="114"/>
        <v>0</v>
      </c>
      <c r="AU60" s="210">
        <f t="shared" ca="1" si="114"/>
        <v>0</v>
      </c>
      <c r="AV60" s="210">
        <f t="shared" ca="1" si="114"/>
        <v>0</v>
      </c>
      <c r="AW60" s="210">
        <f t="shared" ca="1" si="114"/>
        <v>0</v>
      </c>
      <c r="AX60" s="210">
        <f t="shared" ca="1" si="114"/>
        <v>0</v>
      </c>
      <c r="AY60" s="210">
        <f t="shared" ca="1" si="114"/>
        <v>0</v>
      </c>
      <c r="AZ60" s="210">
        <f t="shared" ca="1" si="114"/>
        <v>0</v>
      </c>
      <c r="BA60" s="210">
        <f t="shared" ca="1" si="114"/>
        <v>0</v>
      </c>
      <c r="BB60" s="210">
        <f t="shared" ca="1" si="114"/>
        <v>0</v>
      </c>
      <c r="BC60" s="210">
        <f t="shared" ca="1" si="114"/>
        <v>0</v>
      </c>
      <c r="BD60" s="210">
        <f t="shared" ca="1" si="114"/>
        <v>0</v>
      </c>
      <c r="BE60" s="210">
        <f t="shared" ca="1" si="114"/>
        <v>0</v>
      </c>
      <c r="BF60" s="210">
        <f t="shared" ca="1" si="114"/>
        <v>0</v>
      </c>
      <c r="BG60" s="210">
        <f t="shared" ca="1" si="114"/>
        <v>0</v>
      </c>
    </row>
    <row r="61" spans="1:59" s="202" customFormat="1" hidden="1">
      <c r="A61" s="90" t="s">
        <v>444</v>
      </c>
      <c r="B61" s="90"/>
      <c r="C61" s="90"/>
      <c r="D61" s="90"/>
      <c r="E61" s="90"/>
      <c r="F61" s="90"/>
      <c r="G61" s="205"/>
      <c r="H61" s="210">
        <f ca="1">IF(IFERROR(SUM(OFFSET(G62,0,-'Master Tab'!$C$19+1):G62),0)='Master Tab'!$C$19,1,0)</f>
        <v>0</v>
      </c>
      <c r="I61" s="210">
        <f ca="1">IF(IFERROR(SUM(OFFSET(H62,0,-'Master Tab'!$C$19+1):H62),0)='Master Tab'!$C$19,1,0)</f>
        <v>0</v>
      </c>
      <c r="J61" s="210">
        <f ca="1">IF(IFERROR(SUM(OFFSET(I62,0,-'Master Tab'!$C$19+1):I62),0)='Master Tab'!$C$19,1,0)</f>
        <v>0</v>
      </c>
      <c r="K61" s="210">
        <f ca="1">IF(IFERROR(SUM(OFFSET(J62,0,-'Master Tab'!$C$19+1):J62),0)='Master Tab'!$C$19,1,0)</f>
        <v>0</v>
      </c>
      <c r="L61" s="210">
        <f ca="1">IF(IFERROR(SUM(OFFSET(K62,0,-'Master Tab'!$C$19+1):K62),0)='Master Tab'!$C$19,1,0)</f>
        <v>0</v>
      </c>
      <c r="M61" s="210">
        <f ca="1">IF(IFERROR(SUM(OFFSET(L62,0,-'Master Tab'!$C$19+1):L62),0)='Master Tab'!$C$19,1,0)</f>
        <v>0</v>
      </c>
      <c r="N61" s="210">
        <f ca="1">IF(IFERROR(SUM(OFFSET(M62,0,-'Master Tab'!$C$19+1):M62),0)='Master Tab'!$C$19,1,0)</f>
        <v>0</v>
      </c>
      <c r="O61" s="210">
        <f ca="1">IF(IFERROR(SUM(OFFSET(N62,0,-'Master Tab'!$C$19+1):N62),0)='Master Tab'!$C$19,1,0)</f>
        <v>0</v>
      </c>
      <c r="P61" s="210">
        <f ca="1">IF(IFERROR(SUM(OFFSET(O62,0,-'Master Tab'!$C$19+1):O62),0)='Master Tab'!$C$19,1,0)</f>
        <v>0</v>
      </c>
      <c r="Q61" s="210">
        <f ca="1">IF(IFERROR(SUM(OFFSET(P62,0,-'Master Tab'!$C$19+1):P62),0)='Master Tab'!$C$19,1,0)</f>
        <v>0</v>
      </c>
      <c r="R61" s="210">
        <f ca="1">IF(IFERROR(SUM(OFFSET(Q62,0,-'Master Tab'!$C$19+1):Q62),0)='Master Tab'!$C$19,1,0)</f>
        <v>0</v>
      </c>
      <c r="S61" s="210">
        <f ca="1">IF(IFERROR(SUM(OFFSET(R62,0,-'Master Tab'!$C$19+1):R62),0)='Master Tab'!$C$19,1,0)</f>
        <v>1</v>
      </c>
      <c r="T61" s="210">
        <f ca="1">IF(IFERROR(SUM(OFFSET(S62,0,-'Master Tab'!$C$19+1):S62),0)='Master Tab'!$C$19,1,0)</f>
        <v>0</v>
      </c>
      <c r="U61" s="210">
        <f ca="1">IF(IFERROR(SUM(OFFSET(T62,0,-'Master Tab'!$C$19+1):T62),0)='Master Tab'!$C$19,1,0)</f>
        <v>0</v>
      </c>
      <c r="V61" s="210">
        <f ca="1">IF(IFERROR(SUM(OFFSET(U62,0,-'Master Tab'!$C$19+1):U62),0)='Master Tab'!$C$19,1,0)</f>
        <v>0</v>
      </c>
      <c r="W61" s="210">
        <f ca="1">IF(IFERROR(SUM(OFFSET(V62,0,-'Master Tab'!$C$19+1):V62),0)='Master Tab'!$C$19,1,0)</f>
        <v>0</v>
      </c>
      <c r="X61" s="210">
        <f ca="1">IF(IFERROR(SUM(OFFSET(W62,0,-'Master Tab'!$C$19+1):W62),0)='Master Tab'!$C$19,1,0)</f>
        <v>0</v>
      </c>
      <c r="Y61" s="210">
        <f ca="1">IF(IFERROR(SUM(OFFSET(X62,0,-'Master Tab'!$C$19+1):X62),0)='Master Tab'!$C$19,1,0)</f>
        <v>0</v>
      </c>
      <c r="Z61" s="210">
        <f ca="1">IF(IFERROR(SUM(OFFSET(Y62,0,-'Master Tab'!$C$19+1):Y62),0)='Master Tab'!$C$19,1,0)</f>
        <v>0</v>
      </c>
      <c r="AA61" s="210">
        <f ca="1">IF(IFERROR(SUM(OFFSET(Z62,0,-'Master Tab'!$C$19+1):Z62),0)='Master Tab'!$C$19,1,0)</f>
        <v>0</v>
      </c>
      <c r="AB61" s="210">
        <f ca="1">IF(IFERROR(SUM(OFFSET(AA62,0,-'Master Tab'!$C$19+1):AA62),0)='Master Tab'!$C$19,1,0)</f>
        <v>0</v>
      </c>
      <c r="AC61" s="210">
        <f ca="1">IF(IFERROR(SUM(OFFSET(AB62,0,-'Master Tab'!$C$19+1):AB62),0)='Master Tab'!$C$19,1,0)</f>
        <v>0</v>
      </c>
      <c r="AD61" s="210">
        <f ca="1">IF(IFERROR(SUM(OFFSET(AC62,0,-'Master Tab'!$C$19+1):AC62),0)='Master Tab'!$C$19,1,0)</f>
        <v>0</v>
      </c>
      <c r="AE61" s="210">
        <f ca="1">IF(IFERROR(SUM(OFFSET(AD62,0,-'Master Tab'!$C$19+1):AD62),0)='Master Tab'!$C$19,1,0)</f>
        <v>0</v>
      </c>
      <c r="AF61" s="210">
        <f ca="1">IF(IFERROR(SUM(OFFSET(AE62,0,-'Master Tab'!$C$19+1):AE62),0)='Master Tab'!$C$19,1,0)</f>
        <v>0</v>
      </c>
      <c r="AG61" s="210">
        <f ca="1">IF(IFERROR(SUM(OFFSET(AF62,0,-'Master Tab'!$C$19+1):AF62),0)='Master Tab'!$C$19,1,0)</f>
        <v>0</v>
      </c>
      <c r="AH61" s="210">
        <f ca="1">IF(IFERROR(SUM(OFFSET(AG62,0,-'Master Tab'!$C$19+1):AG62),0)='Master Tab'!$C$19,1,0)</f>
        <v>0</v>
      </c>
      <c r="AI61" s="210">
        <f ca="1">IF(IFERROR(SUM(OFFSET(AH62,0,-'Master Tab'!$C$19+1):AH62),0)='Master Tab'!$C$19,1,0)</f>
        <v>0</v>
      </c>
      <c r="AJ61" s="210">
        <f ca="1">IF(IFERROR(SUM(OFFSET(AI62,0,-'Master Tab'!$C$19+1):AI62),0)='Master Tab'!$C$19,1,0)</f>
        <v>0</v>
      </c>
      <c r="AK61" s="210">
        <f ca="1">IF(IFERROR(SUM(OFFSET(AJ62,0,-'Master Tab'!$C$19+1):AJ62),0)='Master Tab'!$C$19,1,0)</f>
        <v>0</v>
      </c>
      <c r="AL61" s="210">
        <f ca="1">IF(IFERROR(SUM(OFFSET(AK62,0,-'Master Tab'!$C$19+1):AK62),0)='Master Tab'!$C$19,1,0)</f>
        <v>0</v>
      </c>
      <c r="AM61" s="210">
        <f ca="1">IF(IFERROR(SUM(OFFSET(AL62,0,-'Master Tab'!$C$19+1):AL62),0)='Master Tab'!$C$19,1,0)</f>
        <v>0</v>
      </c>
      <c r="AN61" s="210">
        <f ca="1">IF(IFERROR(SUM(OFFSET(AM62,0,-'Master Tab'!$C$19+1):AM62),0)='Master Tab'!$C$19,1,0)</f>
        <v>0</v>
      </c>
      <c r="AO61" s="210">
        <f ca="1">IF(IFERROR(SUM(OFFSET(AN62,0,-'Master Tab'!$C$19+1):AN62),0)='Master Tab'!$C$19,1,0)</f>
        <v>0</v>
      </c>
      <c r="AP61" s="210">
        <f ca="1">IF(IFERROR(SUM(OFFSET(AO62,0,-'Master Tab'!$C$19+1):AO62),0)='Master Tab'!$C$19,1,0)</f>
        <v>0</v>
      </c>
      <c r="AQ61" s="210">
        <f ca="1">IF(IFERROR(SUM(OFFSET(AP62,0,-'Master Tab'!$C$19+1):AP62),0)='Master Tab'!$C$19,1,0)</f>
        <v>0</v>
      </c>
      <c r="AR61" s="210">
        <f ca="1">IF(IFERROR(SUM(OFFSET(AQ62,0,-'Master Tab'!$C$19+1):AQ62),0)='Master Tab'!$C$19,1,0)</f>
        <v>0</v>
      </c>
      <c r="AS61" s="210">
        <f ca="1">IF(IFERROR(SUM(OFFSET(AR62,0,-'Master Tab'!$C$19+1):AR62),0)='Master Tab'!$C$19,1,0)</f>
        <v>0</v>
      </c>
      <c r="AT61" s="210">
        <f ca="1">IF(IFERROR(SUM(OFFSET(AS62,0,-'Master Tab'!$C$19+1):AS62),0)='Master Tab'!$C$19,1,0)</f>
        <v>0</v>
      </c>
      <c r="AU61" s="210">
        <f ca="1">IF(IFERROR(SUM(OFFSET(AT62,0,-'Master Tab'!$C$19+1):AT62),0)='Master Tab'!$C$19,1,0)</f>
        <v>0</v>
      </c>
      <c r="AV61" s="210">
        <f ca="1">IF(IFERROR(SUM(OFFSET(AU62,0,-'Master Tab'!$C$19+1):AU62),0)='Master Tab'!$C$19,1,0)</f>
        <v>0</v>
      </c>
      <c r="AW61" s="210">
        <f ca="1">IF(IFERROR(SUM(OFFSET(AV62,0,-'Master Tab'!$C$19+1):AV62),0)='Master Tab'!$C$19,1,0)</f>
        <v>0</v>
      </c>
      <c r="AX61" s="210">
        <f ca="1">IF(IFERROR(SUM(OFFSET(AW62,0,-'Master Tab'!$C$19+1):AW62),0)='Master Tab'!$C$19,1,0)</f>
        <v>0</v>
      </c>
      <c r="AY61" s="210">
        <f ca="1">IF(IFERROR(SUM(OFFSET(AX62,0,-'Master Tab'!$C$19+1):AX62),0)='Master Tab'!$C$19,1,0)</f>
        <v>0</v>
      </c>
      <c r="AZ61" s="210">
        <f ca="1">IF(IFERROR(SUM(OFFSET(AY62,0,-'Master Tab'!$C$19+1):AY62),0)='Master Tab'!$C$19,1,0)</f>
        <v>0</v>
      </c>
      <c r="BA61" s="210">
        <f ca="1">IF(IFERROR(SUM(OFFSET(AZ62,0,-'Master Tab'!$C$19+1):AZ62),0)='Master Tab'!$C$19,1,0)</f>
        <v>0</v>
      </c>
      <c r="BB61" s="210">
        <f ca="1">IF(IFERROR(SUM(OFFSET(BA62,0,-'Master Tab'!$C$19+1):BA62),0)='Master Tab'!$C$19,1,0)</f>
        <v>0</v>
      </c>
      <c r="BC61" s="210">
        <f ca="1">IF(IFERROR(SUM(OFFSET(BB62,0,-'Master Tab'!$C$19+1):BB62),0)='Master Tab'!$C$19,1,0)</f>
        <v>0</v>
      </c>
      <c r="BD61" s="210">
        <f ca="1">IF(IFERROR(SUM(OFFSET(BC62,0,-'Master Tab'!$C$19+1):BC62),0)='Master Tab'!$C$19,1,0)</f>
        <v>0</v>
      </c>
      <c r="BE61" s="210">
        <f ca="1">IF(IFERROR(SUM(OFFSET(BD62,0,-'Master Tab'!$C$19+1):BD62),0)='Master Tab'!$C$19,1,0)</f>
        <v>0</v>
      </c>
      <c r="BF61" s="210">
        <f ca="1">IF(IFERROR(SUM(OFFSET(BE62,0,-'Master Tab'!$C$19+1):BE62),0)='Master Tab'!$C$19,1,0)</f>
        <v>0</v>
      </c>
      <c r="BG61" s="210">
        <f ca="1">IF(IFERROR(SUM(OFFSET(BF62,0,-'Master Tab'!$C$19+1):BF62),0)='Master Tab'!$C$19,1,0)</f>
        <v>0</v>
      </c>
    </row>
    <row r="62" spans="1:59" s="202" customFormat="1" hidden="1">
      <c r="A62" s="295" t="s">
        <v>437</v>
      </c>
      <c r="B62" s="90"/>
      <c r="C62" s="90"/>
      <c r="D62" s="90"/>
      <c r="E62" s="90"/>
      <c r="F62" s="90"/>
      <c r="G62" s="205"/>
      <c r="H62" s="210">
        <f ca="1">IF(AND(H55&gt;0,SUM(H60,H63)&gt;0),1,0)</f>
        <v>0</v>
      </c>
      <c r="I62" s="210">
        <f ca="1">IF(AND(I55&gt;=0,SUM(I60,I63)&gt;0),1,0)</f>
        <v>1</v>
      </c>
      <c r="J62" s="210">
        <f t="shared" ref="J62:BG62" ca="1" si="115">IF(AND(J55&gt;=0,SUM(J60,J63)&gt;0),1,0)</f>
        <v>1</v>
      </c>
      <c r="K62" s="210">
        <f t="shared" ca="1" si="115"/>
        <v>1</v>
      </c>
      <c r="L62" s="210">
        <f t="shared" ca="1" si="115"/>
        <v>1</v>
      </c>
      <c r="M62" s="210">
        <f t="shared" ca="1" si="115"/>
        <v>1</v>
      </c>
      <c r="N62" s="210">
        <f t="shared" ca="1" si="115"/>
        <v>1</v>
      </c>
      <c r="O62" s="210">
        <f t="shared" ca="1" si="115"/>
        <v>1</v>
      </c>
      <c r="P62" s="210">
        <f t="shared" ca="1" si="115"/>
        <v>1</v>
      </c>
      <c r="Q62" s="210">
        <f t="shared" ca="1" si="115"/>
        <v>1</v>
      </c>
      <c r="R62" s="210">
        <f t="shared" ca="1" si="115"/>
        <v>1</v>
      </c>
      <c r="S62" s="210">
        <f t="shared" ca="1" si="115"/>
        <v>0</v>
      </c>
      <c r="T62" s="210">
        <f t="shared" ca="1" si="115"/>
        <v>0</v>
      </c>
      <c r="U62" s="210">
        <f t="shared" ca="1" si="115"/>
        <v>0</v>
      </c>
      <c r="V62" s="210">
        <f t="shared" ca="1" si="115"/>
        <v>0</v>
      </c>
      <c r="W62" s="210">
        <f t="shared" ca="1" si="115"/>
        <v>0</v>
      </c>
      <c r="X62" s="210">
        <f t="shared" ca="1" si="115"/>
        <v>0</v>
      </c>
      <c r="Y62" s="210">
        <f t="shared" ca="1" si="115"/>
        <v>0</v>
      </c>
      <c r="Z62" s="210">
        <f t="shared" ca="1" si="115"/>
        <v>0</v>
      </c>
      <c r="AA62" s="210">
        <f t="shared" ca="1" si="115"/>
        <v>0</v>
      </c>
      <c r="AB62" s="210">
        <f t="shared" ca="1" si="115"/>
        <v>0</v>
      </c>
      <c r="AC62" s="210">
        <f t="shared" ca="1" si="115"/>
        <v>0</v>
      </c>
      <c r="AD62" s="210">
        <f t="shared" ca="1" si="115"/>
        <v>0</v>
      </c>
      <c r="AE62" s="210">
        <f t="shared" ca="1" si="115"/>
        <v>0</v>
      </c>
      <c r="AF62" s="210">
        <f t="shared" ca="1" si="115"/>
        <v>0</v>
      </c>
      <c r="AG62" s="210">
        <f t="shared" ca="1" si="115"/>
        <v>0</v>
      </c>
      <c r="AH62" s="210">
        <f t="shared" ca="1" si="115"/>
        <v>0</v>
      </c>
      <c r="AI62" s="210">
        <f t="shared" ca="1" si="115"/>
        <v>0</v>
      </c>
      <c r="AJ62" s="210">
        <f t="shared" ca="1" si="115"/>
        <v>0</v>
      </c>
      <c r="AK62" s="210">
        <f t="shared" ca="1" si="115"/>
        <v>0</v>
      </c>
      <c r="AL62" s="210">
        <f t="shared" ca="1" si="115"/>
        <v>0</v>
      </c>
      <c r="AM62" s="210">
        <f t="shared" ca="1" si="115"/>
        <v>0</v>
      </c>
      <c r="AN62" s="210">
        <f t="shared" ca="1" si="115"/>
        <v>0</v>
      </c>
      <c r="AO62" s="210">
        <f t="shared" ca="1" si="115"/>
        <v>0</v>
      </c>
      <c r="AP62" s="210">
        <f t="shared" ca="1" si="115"/>
        <v>0</v>
      </c>
      <c r="AQ62" s="210">
        <f t="shared" ca="1" si="115"/>
        <v>0</v>
      </c>
      <c r="AR62" s="210">
        <f t="shared" ca="1" si="115"/>
        <v>0</v>
      </c>
      <c r="AS62" s="210">
        <f t="shared" ca="1" si="115"/>
        <v>0</v>
      </c>
      <c r="AT62" s="210">
        <f t="shared" ca="1" si="115"/>
        <v>0</v>
      </c>
      <c r="AU62" s="210">
        <f t="shared" ca="1" si="115"/>
        <v>0</v>
      </c>
      <c r="AV62" s="210">
        <f t="shared" ca="1" si="115"/>
        <v>0</v>
      </c>
      <c r="AW62" s="210">
        <f t="shared" ca="1" si="115"/>
        <v>0</v>
      </c>
      <c r="AX62" s="210">
        <f t="shared" ca="1" si="115"/>
        <v>0</v>
      </c>
      <c r="AY62" s="210">
        <f t="shared" ca="1" si="115"/>
        <v>0</v>
      </c>
      <c r="AZ62" s="210">
        <f t="shared" ca="1" si="115"/>
        <v>0</v>
      </c>
      <c r="BA62" s="210">
        <f t="shared" ca="1" si="115"/>
        <v>0</v>
      </c>
      <c r="BB62" s="210">
        <f t="shared" ca="1" si="115"/>
        <v>0</v>
      </c>
      <c r="BC62" s="210">
        <f t="shared" ca="1" si="115"/>
        <v>0</v>
      </c>
      <c r="BD62" s="210">
        <f t="shared" ca="1" si="115"/>
        <v>0</v>
      </c>
      <c r="BE62" s="210">
        <f t="shared" ca="1" si="115"/>
        <v>0</v>
      </c>
      <c r="BF62" s="210">
        <f t="shared" ca="1" si="115"/>
        <v>0</v>
      </c>
      <c r="BG62" s="210">
        <f t="shared" ca="1" si="115"/>
        <v>0</v>
      </c>
    </row>
    <row r="63" spans="1:59" s="202" customFormat="1" hidden="1">
      <c r="A63" s="90" t="s">
        <v>445</v>
      </c>
      <c r="B63" s="90"/>
      <c r="C63" s="90"/>
      <c r="D63" s="90"/>
      <c r="E63" s="90"/>
      <c r="F63" s="90"/>
      <c r="G63" s="205"/>
      <c r="H63" s="210">
        <f>IF(G60=1,'Master Tab'!$C$19-1,IF(G63&gt;0,G63-1,0))</f>
        <v>0</v>
      </c>
      <c r="I63" s="210">
        <f>IF(H60=1,'Master Tab'!$C$19-1,IF(H63&gt;0,H63-1,0))</f>
        <v>0</v>
      </c>
      <c r="J63" s="210">
        <f ca="1">IF(I60=1,'Master Tab'!$C$19-1,IF(I63&gt;0,I63-1,0))</f>
        <v>9</v>
      </c>
      <c r="K63" s="210">
        <f ca="1">IF(J60=1,'Master Tab'!$C$19-1,IF(J63&gt;0,J63-1,0))</f>
        <v>8</v>
      </c>
      <c r="L63" s="210">
        <f ca="1">IF(K60=1,'Master Tab'!$C$19-1,IF(K63&gt;0,K63-1,0))</f>
        <v>7</v>
      </c>
      <c r="M63" s="210">
        <f ca="1">IF(L60=1,'Master Tab'!$C$19-1,IF(L63&gt;0,L63-1,0))</f>
        <v>6</v>
      </c>
      <c r="N63" s="210">
        <f ca="1">IF(M60=1,'Master Tab'!$C$19-1,IF(M63&gt;0,M63-1,0))</f>
        <v>5</v>
      </c>
      <c r="O63" s="210">
        <f ca="1">IF(N60=1,'Master Tab'!$C$19-1,IF(N63&gt;0,N63-1,0))</f>
        <v>4</v>
      </c>
      <c r="P63" s="210">
        <f ca="1">IF(O60=1,'Master Tab'!$C$19-1,IF(O63&gt;0,O63-1,0))</f>
        <v>3</v>
      </c>
      <c r="Q63" s="210">
        <f ca="1">IF(P60=1,'Master Tab'!$C$19-1,IF(P63&gt;0,P63-1,0))</f>
        <v>2</v>
      </c>
      <c r="R63" s="210">
        <f ca="1">IF(Q60=1,'Master Tab'!$C$19-1,IF(Q63&gt;0,Q63-1,0))</f>
        <v>1</v>
      </c>
      <c r="S63" s="210">
        <f ca="1">IF(R60=1,'Master Tab'!$C$19-1,IF(R63&gt;0,R63-1,0))</f>
        <v>0</v>
      </c>
      <c r="T63" s="210">
        <f ca="1">IF(S60=1,'Master Tab'!$C$19-1,IF(S63&gt;0,S63-1,0))</f>
        <v>0</v>
      </c>
      <c r="U63" s="210">
        <f ca="1">IF(T60=1,'Master Tab'!$C$19-1,IF(T63&gt;0,T63-1,0))</f>
        <v>0</v>
      </c>
      <c r="V63" s="210">
        <f ca="1">IF(U60=1,'Master Tab'!$C$19-1,IF(U63&gt;0,U63-1,0))</f>
        <v>0</v>
      </c>
      <c r="W63" s="210">
        <f ca="1">IF(V60=1,'Master Tab'!$C$19-1,IF(V63&gt;0,V63-1,0))</f>
        <v>0</v>
      </c>
      <c r="X63" s="210">
        <f ca="1">IF(W60=1,'Master Tab'!$C$19-1,IF(W63&gt;0,W63-1,0))</f>
        <v>0</v>
      </c>
      <c r="Y63" s="210">
        <f ca="1">IF(X60=1,'Master Tab'!$C$19-1,IF(X63&gt;0,X63-1,0))</f>
        <v>0</v>
      </c>
      <c r="Z63" s="210">
        <f ca="1">IF(Y60=1,'Master Tab'!$C$19-1,IF(Y63&gt;0,Y63-1,0))</f>
        <v>0</v>
      </c>
      <c r="AA63" s="210">
        <f ca="1">IF(Z60=1,'Master Tab'!$C$19-1,IF(Z63&gt;0,Z63-1,0))</f>
        <v>0</v>
      </c>
      <c r="AB63" s="210">
        <f ca="1">IF(AA60=1,'Master Tab'!$C$19-1,IF(AA63&gt;0,AA63-1,0))</f>
        <v>0</v>
      </c>
      <c r="AC63" s="210">
        <f ca="1">IF(AB60=1,'Master Tab'!$C$19-1,IF(AB63&gt;0,AB63-1,0))</f>
        <v>0</v>
      </c>
      <c r="AD63" s="210">
        <f ca="1">IF(AC60=1,'Master Tab'!$C$19-1,IF(AC63&gt;0,AC63-1,0))</f>
        <v>0</v>
      </c>
      <c r="AE63" s="210">
        <f ca="1">IF(AD60=1,'Master Tab'!$C$19-1,IF(AD63&gt;0,AD63-1,0))</f>
        <v>0</v>
      </c>
      <c r="AF63" s="210">
        <f ca="1">IF(AE60=1,'Master Tab'!$C$19-1,IF(AE63&gt;0,AE63-1,0))</f>
        <v>0</v>
      </c>
      <c r="AG63" s="210">
        <f ca="1">IF(AF60=1,'Master Tab'!$C$19-1,IF(AF63&gt;0,AF63-1,0))</f>
        <v>0</v>
      </c>
      <c r="AH63" s="210">
        <f ca="1">IF(AG60=1,'Master Tab'!$C$19-1,IF(AG63&gt;0,AG63-1,0))</f>
        <v>0</v>
      </c>
      <c r="AI63" s="210">
        <f ca="1">IF(AH60=1,'Master Tab'!$C$19-1,IF(AH63&gt;0,AH63-1,0))</f>
        <v>0</v>
      </c>
      <c r="AJ63" s="210">
        <f ca="1">IF(AI60=1,'Master Tab'!$C$19-1,IF(AI63&gt;0,AI63-1,0))</f>
        <v>0</v>
      </c>
      <c r="AK63" s="210">
        <f ca="1">IF(AJ60=1,'Master Tab'!$C$19-1,IF(AJ63&gt;0,AJ63-1,0))</f>
        <v>0</v>
      </c>
      <c r="AL63" s="210">
        <f ca="1">IF(AK60=1,'Master Tab'!$C$19-1,IF(AK63&gt;0,AK63-1,0))</f>
        <v>0</v>
      </c>
      <c r="AM63" s="210">
        <f ca="1">IF(AL60=1,'Master Tab'!$C$19-1,IF(AL63&gt;0,AL63-1,0))</f>
        <v>0</v>
      </c>
      <c r="AN63" s="210">
        <f ca="1">IF(AM60=1,'Master Tab'!$C$19-1,IF(AM63&gt;0,AM63-1,0))</f>
        <v>0</v>
      </c>
      <c r="AO63" s="210">
        <f ca="1">IF(AN60=1,'Master Tab'!$C$19-1,IF(AN63&gt;0,AN63-1,0))</f>
        <v>0</v>
      </c>
      <c r="AP63" s="210">
        <f ca="1">IF(AO60=1,'Master Tab'!$C$19-1,IF(AO63&gt;0,AO63-1,0))</f>
        <v>0</v>
      </c>
      <c r="AQ63" s="210">
        <f ca="1">IF(AP60=1,'Master Tab'!$C$19-1,IF(AP63&gt;0,AP63-1,0))</f>
        <v>0</v>
      </c>
      <c r="AR63" s="210">
        <f ca="1">IF(AQ60=1,'Master Tab'!$C$19-1,IF(AQ63&gt;0,AQ63-1,0))</f>
        <v>0</v>
      </c>
      <c r="AS63" s="210">
        <f ca="1">IF(AR60=1,'Master Tab'!$C$19-1,IF(AR63&gt;0,AR63-1,0))</f>
        <v>0</v>
      </c>
      <c r="AT63" s="210">
        <f ca="1">IF(AS60=1,'Master Tab'!$C$19-1,IF(AS63&gt;0,AS63-1,0))</f>
        <v>0</v>
      </c>
      <c r="AU63" s="210">
        <f ca="1">IF(AT60=1,'Master Tab'!$C$19-1,IF(AT63&gt;0,AT63-1,0))</f>
        <v>0</v>
      </c>
      <c r="AV63" s="210">
        <f ca="1">IF(AU60=1,'Master Tab'!$C$19-1,IF(AU63&gt;0,AU63-1,0))</f>
        <v>0</v>
      </c>
      <c r="AW63" s="210">
        <f ca="1">IF(AV60=1,'Master Tab'!$C$19-1,IF(AV63&gt;0,AV63-1,0))</f>
        <v>0</v>
      </c>
      <c r="AX63" s="210">
        <f ca="1">IF(AW60=1,'Master Tab'!$C$19-1,IF(AW63&gt;0,AW63-1,0))</f>
        <v>0</v>
      </c>
      <c r="AY63" s="210">
        <f ca="1">IF(AX60=1,'Master Tab'!$C$19-1,IF(AX63&gt;0,AX63-1,0))</f>
        <v>0</v>
      </c>
      <c r="AZ63" s="210">
        <f ca="1">IF(AY60=1,'Master Tab'!$C$19-1,IF(AY63&gt;0,AY63-1,0))</f>
        <v>0</v>
      </c>
      <c r="BA63" s="210">
        <f ca="1">IF(AZ60=1,'Master Tab'!$C$19-1,IF(AZ63&gt;0,AZ63-1,0))</f>
        <v>0</v>
      </c>
      <c r="BB63" s="210">
        <f ca="1">IF(BA60=1,'Master Tab'!$C$19-1,IF(BA63&gt;0,BA63-1,0))</f>
        <v>0</v>
      </c>
      <c r="BC63" s="210">
        <f ca="1">IF(BB60=1,'Master Tab'!$C$19-1,IF(BB63&gt;0,BB63-1,0))</f>
        <v>0</v>
      </c>
      <c r="BD63" s="210">
        <f ca="1">IF(BC60=1,'Master Tab'!$C$19-1,IF(BC63&gt;0,BC63-1,0))</f>
        <v>0</v>
      </c>
      <c r="BE63" s="210">
        <f ca="1">IF(BD60=1,'Master Tab'!$C$19-1,IF(BD63&gt;0,BD63-1,0))</f>
        <v>0</v>
      </c>
      <c r="BF63" s="210">
        <f ca="1">IF(BE60=1,'Master Tab'!$C$19-1,IF(BE63&gt;0,BE63-1,0))</f>
        <v>0</v>
      </c>
      <c r="BG63" s="210">
        <f ca="1">IF(BF60=1,'Master Tab'!$C$19-1,IF(BF63&gt;0,BF63-1,0))</f>
        <v>0</v>
      </c>
    </row>
    <row r="64" spans="1:59" s="202" customFormat="1" hidden="1">
      <c r="A64" s="295"/>
      <c r="B64" s="90"/>
      <c r="C64" s="90"/>
      <c r="D64" s="90"/>
      <c r="E64" s="90"/>
      <c r="F64" s="90"/>
      <c r="G64" s="205"/>
      <c r="H64" s="210"/>
      <c r="I64" s="210"/>
      <c r="J64" s="210"/>
      <c r="K64" s="210"/>
      <c r="L64" s="210"/>
      <c r="M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210"/>
      <c r="AS64" s="210"/>
      <c r="AT64" s="210"/>
      <c r="AU64" s="210"/>
      <c r="AV64" s="210"/>
      <c r="AW64" s="210"/>
      <c r="AX64" s="210"/>
      <c r="AY64" s="210"/>
      <c r="AZ64" s="210"/>
      <c r="BA64" s="210"/>
      <c r="BB64" s="210"/>
      <c r="BC64" s="210"/>
      <c r="BD64" s="210"/>
      <c r="BE64" s="210"/>
      <c r="BF64" s="210"/>
      <c r="BG64" s="210"/>
    </row>
    <row r="65" spans="1:59" hidden="1">
      <c r="A65" s="300" t="s">
        <v>462</v>
      </c>
      <c r="B65" s="301"/>
      <c r="C65" s="301"/>
      <c r="D65" s="301"/>
      <c r="E65" s="301"/>
      <c r="F65" s="301"/>
      <c r="G65" s="301"/>
      <c r="H65" s="209"/>
      <c r="I65" s="209"/>
      <c r="J65" s="209"/>
      <c r="K65" s="209"/>
      <c r="L65" s="209"/>
      <c r="M65" s="209"/>
      <c r="N65" s="209"/>
      <c r="O65" s="209"/>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209"/>
      <c r="AS65" s="209"/>
      <c r="AT65" s="209"/>
      <c r="AU65" s="209"/>
      <c r="AV65" s="209"/>
      <c r="AW65" s="209"/>
      <c r="AX65" s="209"/>
      <c r="AY65" s="209"/>
      <c r="AZ65" s="209"/>
      <c r="BA65" s="209"/>
      <c r="BB65" s="209"/>
      <c r="BC65" s="209"/>
      <c r="BD65" s="209"/>
      <c r="BE65" s="209"/>
      <c r="BF65" s="209"/>
      <c r="BG65" s="209"/>
    </row>
    <row r="66" spans="1:59" hidden="1">
      <c r="A66" s="280" t="s">
        <v>438</v>
      </c>
      <c r="B66" s="281" t="s">
        <v>450</v>
      </c>
      <c r="C66" s="281">
        <f>'Master Tab'!$C$24</f>
        <v>4</v>
      </c>
      <c r="D66" s="281"/>
      <c r="E66" s="281"/>
      <c r="F66" s="281" t="s">
        <v>440</v>
      </c>
      <c r="G66" s="281">
        <f>'Master Tab'!$C$5</f>
        <v>0</v>
      </c>
      <c r="H66" s="282">
        <f ca="1">G66-H67</f>
        <v>0</v>
      </c>
      <c r="I66" s="282">
        <f ca="1">H66-I67</f>
        <v>0</v>
      </c>
      <c r="J66" s="282">
        <f t="shared" ref="J66" ca="1" si="116">I66-J67</f>
        <v>0</v>
      </c>
      <c r="K66" s="282">
        <f t="shared" ref="K66" ca="1" si="117">J66-K67</f>
        <v>0</v>
      </c>
      <c r="L66" s="282">
        <f t="shared" ref="L66" ca="1" si="118">K66-L67</f>
        <v>0</v>
      </c>
      <c r="M66" s="282">
        <f t="shared" ref="M66" ca="1" si="119">L66-M67</f>
        <v>0</v>
      </c>
      <c r="N66" s="282">
        <f t="shared" ref="N66" ca="1" si="120">M66-N67</f>
        <v>0</v>
      </c>
      <c r="O66" s="282">
        <f t="shared" ref="O66" ca="1" si="121">N66-O67</f>
        <v>0</v>
      </c>
      <c r="P66" s="282">
        <f t="shared" ref="P66" ca="1" si="122">O66-P67</f>
        <v>0</v>
      </c>
      <c r="Q66" s="282">
        <f ca="1">P66-Q67</f>
        <v>0</v>
      </c>
      <c r="R66" s="282">
        <f ca="1">Q66-R67</f>
        <v>0</v>
      </c>
      <c r="S66" s="282">
        <f t="shared" ref="S66" ca="1" si="123">R66-S67</f>
        <v>0</v>
      </c>
      <c r="T66" s="282">
        <f t="shared" ref="T66" ca="1" si="124">S66-T67</f>
        <v>0</v>
      </c>
      <c r="U66" s="282">
        <f t="shared" ref="U66" ca="1" si="125">T66-U67</f>
        <v>0</v>
      </c>
      <c r="V66" s="282">
        <f t="shared" ref="V66" ca="1" si="126">U66-V67</f>
        <v>0</v>
      </c>
      <c r="W66" s="282">
        <f t="shared" ref="W66" ca="1" si="127">V66-W67</f>
        <v>0</v>
      </c>
      <c r="X66" s="282">
        <f t="shared" ref="X66" ca="1" si="128">W66-X67</f>
        <v>0</v>
      </c>
      <c r="Y66" s="282">
        <f t="shared" ref="Y66" ca="1" si="129">X66-Y67</f>
        <v>0</v>
      </c>
      <c r="Z66" s="282">
        <f t="shared" ref="Z66" ca="1" si="130">Y66-Z67</f>
        <v>0</v>
      </c>
      <c r="AA66" s="282">
        <f t="shared" ref="AA66" ca="1" si="131">Z66-AA67</f>
        <v>0</v>
      </c>
      <c r="AB66" s="282">
        <f t="shared" ref="AB66" ca="1" si="132">AA66-AB67</f>
        <v>0</v>
      </c>
      <c r="AC66" s="282">
        <f t="shared" ref="AC66" ca="1" si="133">AB66-AC67</f>
        <v>0</v>
      </c>
      <c r="AD66" s="282">
        <f t="shared" ref="AD66" ca="1" si="134">AC66-AD67</f>
        <v>0</v>
      </c>
      <c r="AE66" s="282">
        <f t="shared" ref="AE66" ca="1" si="135">AD66-AE67</f>
        <v>0</v>
      </c>
      <c r="AF66" s="282">
        <f t="shared" ref="AF66" ca="1" si="136">AE66-AF67</f>
        <v>0</v>
      </c>
      <c r="AG66" s="282">
        <f t="shared" ref="AG66" ca="1" si="137">AF66-AG67</f>
        <v>0</v>
      </c>
      <c r="AH66" s="282">
        <f t="shared" ref="AH66" ca="1" si="138">AG66-AH67</f>
        <v>0</v>
      </c>
      <c r="AI66" s="282">
        <f t="shared" ref="AI66" ca="1" si="139">AH66-AI67</f>
        <v>0</v>
      </c>
      <c r="AJ66" s="282">
        <f t="shared" ref="AJ66" ca="1" si="140">AI66-AJ67</f>
        <v>0</v>
      </c>
      <c r="AK66" s="282">
        <f t="shared" ref="AK66" ca="1" si="141">AJ66-AK67</f>
        <v>0</v>
      </c>
      <c r="AL66" s="282">
        <f t="shared" ref="AL66" ca="1" si="142">AK66-AL67</f>
        <v>0</v>
      </c>
      <c r="AM66" s="282">
        <f t="shared" ref="AM66" ca="1" si="143">AL66-AM67</f>
        <v>0</v>
      </c>
      <c r="AN66" s="282">
        <f t="shared" ref="AN66" ca="1" si="144">AM66-AN67</f>
        <v>0</v>
      </c>
      <c r="AO66" s="282">
        <f t="shared" ref="AO66" ca="1" si="145">AN66-AO67</f>
        <v>0</v>
      </c>
      <c r="AP66" s="282">
        <f t="shared" ref="AP66" ca="1" si="146">AO66-AP67</f>
        <v>0</v>
      </c>
      <c r="AQ66" s="282">
        <f t="shared" ref="AQ66" ca="1" si="147">AP66-AQ67</f>
        <v>0</v>
      </c>
      <c r="AR66" s="282">
        <f t="shared" ref="AR66" ca="1" si="148">AQ66-AR67</f>
        <v>0</v>
      </c>
      <c r="AS66" s="282">
        <f t="shared" ref="AS66" ca="1" si="149">AR66-AS67</f>
        <v>0</v>
      </c>
      <c r="AT66" s="282">
        <f t="shared" ref="AT66" ca="1" si="150">AS66-AT67</f>
        <v>0</v>
      </c>
      <c r="AU66" s="282">
        <f t="shared" ref="AU66" ca="1" si="151">AT66-AU67</f>
        <v>0</v>
      </c>
      <c r="AV66" s="282">
        <f t="shared" ref="AV66" ca="1" si="152">AU66-AV67</f>
        <v>0</v>
      </c>
      <c r="AW66" s="282">
        <f t="shared" ref="AW66" ca="1" si="153">AV66-AW67</f>
        <v>0</v>
      </c>
      <c r="AX66" s="282">
        <f t="shared" ref="AX66" ca="1" si="154">AW66-AX67</f>
        <v>0</v>
      </c>
      <c r="AY66" s="282">
        <f t="shared" ref="AY66" ca="1" si="155">AX66-AY67</f>
        <v>0</v>
      </c>
      <c r="AZ66" s="282">
        <f t="shared" ref="AZ66" ca="1" si="156">AY66-AZ67</f>
        <v>0</v>
      </c>
      <c r="BA66" s="282">
        <f t="shared" ref="BA66" ca="1" si="157">AZ66-BA67</f>
        <v>0</v>
      </c>
      <c r="BB66" s="282">
        <f t="shared" ref="BB66" ca="1" si="158">BA66-BB67</f>
        <v>0</v>
      </c>
      <c r="BC66" s="282">
        <f t="shared" ref="BC66" ca="1" si="159">BB66-BC67</f>
        <v>0</v>
      </c>
      <c r="BD66" s="282">
        <f t="shared" ref="BD66" ca="1" si="160">BC66-BD67</f>
        <v>0</v>
      </c>
      <c r="BE66" s="282">
        <f t="shared" ref="BE66" ca="1" si="161">BD66-BE67</f>
        <v>0</v>
      </c>
      <c r="BF66" s="282">
        <f t="shared" ref="BF66" ca="1" si="162">BE66-BF67</f>
        <v>0</v>
      </c>
      <c r="BG66" s="282">
        <f t="shared" ref="BG66" ca="1" si="163">BF66-BG67</f>
        <v>0</v>
      </c>
    </row>
    <row r="67" spans="1:59" hidden="1">
      <c r="A67" s="280" t="s">
        <v>439</v>
      </c>
      <c r="B67" s="281"/>
      <c r="C67" s="281"/>
      <c r="D67" s="281"/>
      <c r="E67" s="281"/>
      <c r="F67" s="281"/>
      <c r="G67" s="281"/>
      <c r="H67" s="282">
        <f t="shared" ref="H67:AM67" ca="1" si="164">IF(AND(H70=G66,H68=0, G66&gt;0,H59&lt;1,H36=0,H61=0),1,0)</f>
        <v>0</v>
      </c>
      <c r="I67" s="282">
        <f t="shared" ca="1" si="164"/>
        <v>0</v>
      </c>
      <c r="J67" s="282">
        <f t="shared" ca="1" si="164"/>
        <v>0</v>
      </c>
      <c r="K67" s="282">
        <f t="shared" ca="1" si="164"/>
        <v>0</v>
      </c>
      <c r="L67" s="282">
        <f t="shared" ca="1" si="164"/>
        <v>0</v>
      </c>
      <c r="M67" s="282">
        <f t="shared" ca="1" si="164"/>
        <v>0</v>
      </c>
      <c r="N67" s="282">
        <f t="shared" ca="1" si="164"/>
        <v>0</v>
      </c>
      <c r="O67" s="282">
        <f t="shared" ca="1" si="164"/>
        <v>0</v>
      </c>
      <c r="P67" s="282">
        <f t="shared" ca="1" si="164"/>
        <v>0</v>
      </c>
      <c r="Q67" s="282">
        <f t="shared" ca="1" si="164"/>
        <v>0</v>
      </c>
      <c r="R67" s="282">
        <f t="shared" ca="1" si="164"/>
        <v>0</v>
      </c>
      <c r="S67" s="282">
        <f t="shared" ca="1" si="164"/>
        <v>0</v>
      </c>
      <c r="T67" s="282">
        <f t="shared" ca="1" si="164"/>
        <v>0</v>
      </c>
      <c r="U67" s="282">
        <f t="shared" ca="1" si="164"/>
        <v>0</v>
      </c>
      <c r="V67" s="282">
        <f t="shared" ca="1" si="164"/>
        <v>0</v>
      </c>
      <c r="W67" s="282">
        <f t="shared" ca="1" si="164"/>
        <v>0</v>
      </c>
      <c r="X67" s="282">
        <f t="shared" ca="1" si="164"/>
        <v>0</v>
      </c>
      <c r="Y67" s="282">
        <f t="shared" ca="1" si="164"/>
        <v>0</v>
      </c>
      <c r="Z67" s="282">
        <f t="shared" ca="1" si="164"/>
        <v>0</v>
      </c>
      <c r="AA67" s="282">
        <f t="shared" ca="1" si="164"/>
        <v>0</v>
      </c>
      <c r="AB67" s="282">
        <f t="shared" ca="1" si="164"/>
        <v>0</v>
      </c>
      <c r="AC67" s="282">
        <f t="shared" ca="1" si="164"/>
        <v>0</v>
      </c>
      <c r="AD67" s="282">
        <f t="shared" ca="1" si="164"/>
        <v>0</v>
      </c>
      <c r="AE67" s="282">
        <f t="shared" ca="1" si="164"/>
        <v>0</v>
      </c>
      <c r="AF67" s="282">
        <f t="shared" ca="1" si="164"/>
        <v>0</v>
      </c>
      <c r="AG67" s="282">
        <f t="shared" ca="1" si="164"/>
        <v>0</v>
      </c>
      <c r="AH67" s="282">
        <f t="shared" ca="1" si="164"/>
        <v>0</v>
      </c>
      <c r="AI67" s="282">
        <f t="shared" ca="1" si="164"/>
        <v>0</v>
      </c>
      <c r="AJ67" s="282">
        <f t="shared" ca="1" si="164"/>
        <v>0</v>
      </c>
      <c r="AK67" s="282">
        <f t="shared" ca="1" si="164"/>
        <v>0</v>
      </c>
      <c r="AL67" s="282">
        <f t="shared" ca="1" si="164"/>
        <v>0</v>
      </c>
      <c r="AM67" s="282">
        <f t="shared" ca="1" si="164"/>
        <v>0</v>
      </c>
      <c r="AN67" s="282">
        <f t="shared" ref="AN67:BG67" ca="1" si="165">IF(AND(AN70=AM66,AN68=0, AM66&gt;0,AN59&lt;1,AN36=0,AN61=0),1,0)</f>
        <v>0</v>
      </c>
      <c r="AO67" s="282">
        <f t="shared" ca="1" si="165"/>
        <v>0</v>
      </c>
      <c r="AP67" s="282">
        <f t="shared" ca="1" si="165"/>
        <v>0</v>
      </c>
      <c r="AQ67" s="282">
        <f t="shared" ca="1" si="165"/>
        <v>0</v>
      </c>
      <c r="AR67" s="282">
        <f t="shared" ca="1" si="165"/>
        <v>0</v>
      </c>
      <c r="AS67" s="282">
        <f t="shared" ca="1" si="165"/>
        <v>0</v>
      </c>
      <c r="AT67" s="282">
        <f t="shared" ca="1" si="165"/>
        <v>0</v>
      </c>
      <c r="AU67" s="282">
        <f t="shared" ca="1" si="165"/>
        <v>0</v>
      </c>
      <c r="AV67" s="282">
        <f t="shared" ca="1" si="165"/>
        <v>0</v>
      </c>
      <c r="AW67" s="282">
        <f t="shared" ca="1" si="165"/>
        <v>0</v>
      </c>
      <c r="AX67" s="282">
        <f t="shared" ca="1" si="165"/>
        <v>0</v>
      </c>
      <c r="AY67" s="282">
        <f t="shared" ca="1" si="165"/>
        <v>0</v>
      </c>
      <c r="AZ67" s="282">
        <f t="shared" ca="1" si="165"/>
        <v>0</v>
      </c>
      <c r="BA67" s="282">
        <f t="shared" ca="1" si="165"/>
        <v>0</v>
      </c>
      <c r="BB67" s="282">
        <f t="shared" ca="1" si="165"/>
        <v>0</v>
      </c>
      <c r="BC67" s="282">
        <f t="shared" ca="1" si="165"/>
        <v>0</v>
      </c>
      <c r="BD67" s="282">
        <f t="shared" ca="1" si="165"/>
        <v>0</v>
      </c>
      <c r="BE67" s="282">
        <f t="shared" ca="1" si="165"/>
        <v>0</v>
      </c>
      <c r="BF67" s="282">
        <f t="shared" ca="1" si="165"/>
        <v>0</v>
      </c>
      <c r="BG67" s="282">
        <f t="shared" ca="1" si="165"/>
        <v>0</v>
      </c>
    </row>
    <row r="68" spans="1:59" hidden="1">
      <c r="A68" s="280" t="s">
        <v>446</v>
      </c>
      <c r="B68" s="281"/>
      <c r="C68" s="281"/>
      <c r="D68" s="281"/>
      <c r="E68" s="281"/>
      <c r="F68" s="281"/>
      <c r="G68" s="281"/>
      <c r="H68" s="282">
        <f ca="1">IF(H72=1,1,0)</f>
        <v>0</v>
      </c>
      <c r="I68" s="282">
        <f t="shared" ref="I68" ca="1" si="166">IF(I72=1,1,0)</f>
        <v>0</v>
      </c>
      <c r="J68" s="282">
        <f ca="1">IF(J72=1,1,0)</f>
        <v>0</v>
      </c>
      <c r="K68" s="282">
        <f t="shared" ref="K68:Q68" ca="1" si="167">IF(K72=1,1,0)</f>
        <v>0</v>
      </c>
      <c r="L68" s="282">
        <f t="shared" ca="1" si="167"/>
        <v>0</v>
      </c>
      <c r="M68" s="282">
        <f t="shared" ca="1" si="167"/>
        <v>0</v>
      </c>
      <c r="N68" s="282">
        <f t="shared" ca="1" si="167"/>
        <v>0</v>
      </c>
      <c r="O68" s="282">
        <f t="shared" ca="1" si="167"/>
        <v>0</v>
      </c>
      <c r="P68" s="282">
        <f t="shared" ca="1" si="167"/>
        <v>0</v>
      </c>
      <c r="Q68" s="282">
        <f t="shared" ca="1" si="167"/>
        <v>0</v>
      </c>
      <c r="R68" s="282">
        <f ca="1">IF(R72=1,1,0)</f>
        <v>0</v>
      </c>
      <c r="S68" s="282">
        <f t="shared" ref="S68:BG68" ca="1" si="168">IF(S72=1,1,0)</f>
        <v>0</v>
      </c>
      <c r="T68" s="282">
        <f t="shared" ca="1" si="168"/>
        <v>0</v>
      </c>
      <c r="U68" s="282">
        <f t="shared" ca="1" si="168"/>
        <v>0</v>
      </c>
      <c r="V68" s="282">
        <f t="shared" ca="1" si="168"/>
        <v>0</v>
      </c>
      <c r="W68" s="282">
        <f t="shared" ca="1" si="168"/>
        <v>0</v>
      </c>
      <c r="X68" s="282">
        <f t="shared" ca="1" si="168"/>
        <v>0</v>
      </c>
      <c r="Y68" s="282">
        <f t="shared" ca="1" si="168"/>
        <v>0</v>
      </c>
      <c r="Z68" s="282">
        <f t="shared" ca="1" si="168"/>
        <v>0</v>
      </c>
      <c r="AA68" s="282">
        <f t="shared" ca="1" si="168"/>
        <v>0</v>
      </c>
      <c r="AB68" s="282">
        <f t="shared" ca="1" si="168"/>
        <v>0</v>
      </c>
      <c r="AC68" s="282">
        <f t="shared" ca="1" si="168"/>
        <v>0</v>
      </c>
      <c r="AD68" s="282">
        <f t="shared" ca="1" si="168"/>
        <v>0</v>
      </c>
      <c r="AE68" s="282">
        <f t="shared" ca="1" si="168"/>
        <v>0</v>
      </c>
      <c r="AF68" s="282">
        <f t="shared" ca="1" si="168"/>
        <v>0</v>
      </c>
      <c r="AG68" s="282">
        <f t="shared" ca="1" si="168"/>
        <v>0</v>
      </c>
      <c r="AH68" s="282">
        <f t="shared" ca="1" si="168"/>
        <v>0</v>
      </c>
      <c r="AI68" s="282">
        <f t="shared" ca="1" si="168"/>
        <v>0</v>
      </c>
      <c r="AJ68" s="282">
        <f t="shared" ca="1" si="168"/>
        <v>0</v>
      </c>
      <c r="AK68" s="282">
        <f t="shared" ca="1" si="168"/>
        <v>0</v>
      </c>
      <c r="AL68" s="282">
        <f t="shared" ca="1" si="168"/>
        <v>0</v>
      </c>
      <c r="AM68" s="282">
        <f t="shared" ca="1" si="168"/>
        <v>0</v>
      </c>
      <c r="AN68" s="282">
        <f t="shared" ca="1" si="168"/>
        <v>0</v>
      </c>
      <c r="AO68" s="282">
        <f t="shared" ca="1" si="168"/>
        <v>0</v>
      </c>
      <c r="AP68" s="282">
        <f t="shared" ca="1" si="168"/>
        <v>0</v>
      </c>
      <c r="AQ68" s="282">
        <f t="shared" ca="1" si="168"/>
        <v>0</v>
      </c>
      <c r="AR68" s="282">
        <f t="shared" ca="1" si="168"/>
        <v>0</v>
      </c>
      <c r="AS68" s="282">
        <f t="shared" ca="1" si="168"/>
        <v>0</v>
      </c>
      <c r="AT68" s="282">
        <f t="shared" ca="1" si="168"/>
        <v>0</v>
      </c>
      <c r="AU68" s="282">
        <f t="shared" ca="1" si="168"/>
        <v>0</v>
      </c>
      <c r="AV68" s="282">
        <f t="shared" ca="1" si="168"/>
        <v>0</v>
      </c>
      <c r="AW68" s="282">
        <f t="shared" ca="1" si="168"/>
        <v>0</v>
      </c>
      <c r="AX68" s="282">
        <f t="shared" ca="1" si="168"/>
        <v>0</v>
      </c>
      <c r="AY68" s="282">
        <f t="shared" ca="1" si="168"/>
        <v>0</v>
      </c>
      <c r="AZ68" s="282">
        <f t="shared" ca="1" si="168"/>
        <v>0</v>
      </c>
      <c r="BA68" s="282">
        <f t="shared" ca="1" si="168"/>
        <v>0</v>
      </c>
      <c r="BB68" s="282">
        <f t="shared" ca="1" si="168"/>
        <v>0</v>
      </c>
      <c r="BC68" s="282">
        <f t="shared" ca="1" si="168"/>
        <v>0</v>
      </c>
      <c r="BD68" s="282">
        <f t="shared" ca="1" si="168"/>
        <v>0</v>
      </c>
      <c r="BE68" s="282">
        <f t="shared" ca="1" si="168"/>
        <v>0</v>
      </c>
      <c r="BF68" s="282">
        <f t="shared" ca="1" si="168"/>
        <v>0</v>
      </c>
      <c r="BG68" s="282">
        <f t="shared" ca="1" si="168"/>
        <v>0</v>
      </c>
    </row>
    <row r="69" spans="1:59" s="202" customFormat="1" hidden="1">
      <c r="A69" s="90"/>
      <c r="B69" s="90"/>
      <c r="C69" s="90"/>
      <c r="D69" s="90"/>
      <c r="E69" s="90"/>
      <c r="F69" s="90"/>
      <c r="G69" s="205"/>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c r="AM69" s="210"/>
      <c r="AN69" s="210"/>
      <c r="AO69" s="210"/>
      <c r="AP69" s="210"/>
      <c r="AQ69" s="210"/>
      <c r="AR69" s="210"/>
      <c r="AS69" s="210"/>
      <c r="AT69" s="210"/>
      <c r="AU69" s="210"/>
      <c r="AV69" s="210"/>
      <c r="AW69" s="210"/>
      <c r="AX69" s="210"/>
      <c r="AY69" s="210"/>
      <c r="AZ69" s="210"/>
      <c r="BA69" s="210"/>
      <c r="BB69" s="210"/>
      <c r="BC69" s="210"/>
      <c r="BD69" s="210"/>
      <c r="BE69" s="210"/>
      <c r="BF69" s="210"/>
      <c r="BG69" s="210"/>
    </row>
    <row r="70" spans="1:59" s="202" customFormat="1" hidden="1">
      <c r="A70" s="90" t="s">
        <v>441</v>
      </c>
      <c r="B70" s="90"/>
      <c r="C70" s="90"/>
      <c r="D70" s="90"/>
      <c r="E70" s="90"/>
      <c r="F70" s="90" t="s">
        <v>442</v>
      </c>
      <c r="G70" s="205">
        <f>'Master Tab'!$C$5</f>
        <v>0</v>
      </c>
      <c r="H70" s="210">
        <f ca="1">G70-H72</f>
        <v>0</v>
      </c>
      <c r="I70" s="210">
        <f t="shared" ref="I70" ca="1" si="169">H70-I72</f>
        <v>0</v>
      </c>
      <c r="J70" s="210">
        <f t="shared" ref="J70" ca="1" si="170">I70-J72</f>
        <v>0</v>
      </c>
      <c r="K70" s="210">
        <f t="shared" ref="K70" ca="1" si="171">J70-K72</f>
        <v>0</v>
      </c>
      <c r="L70" s="210">
        <f ca="1">K70-L72</f>
        <v>0</v>
      </c>
      <c r="M70" s="210">
        <f t="shared" ref="M70" ca="1" si="172">L70-M72</f>
        <v>0</v>
      </c>
      <c r="N70" s="210">
        <f t="shared" ref="N70" ca="1" si="173">M70-N72</f>
        <v>0</v>
      </c>
      <c r="O70" s="210">
        <f t="shared" ref="O70" ca="1" si="174">N70-O72</f>
        <v>0</v>
      </c>
      <c r="P70" s="210">
        <f t="shared" ref="P70" ca="1" si="175">O70-P72</f>
        <v>0</v>
      </c>
      <c r="Q70" s="210">
        <f t="shared" ref="Q70" ca="1" si="176">P70-Q72</f>
        <v>0</v>
      </c>
      <c r="R70" s="210">
        <f ca="1">Q70-R72</f>
        <v>0</v>
      </c>
      <c r="S70" s="210">
        <f t="shared" ref="S70" ca="1" si="177">R70-S72</f>
        <v>0</v>
      </c>
      <c r="T70" s="210">
        <f t="shared" ref="T70" ca="1" si="178">S70-T72</f>
        <v>0</v>
      </c>
      <c r="U70" s="210">
        <f t="shared" ref="U70" ca="1" si="179">T70-U72</f>
        <v>0</v>
      </c>
      <c r="V70" s="210">
        <f t="shared" ref="V70" ca="1" si="180">U70-V72</f>
        <v>0</v>
      </c>
      <c r="W70" s="210">
        <f t="shared" ref="W70" ca="1" si="181">V70-W72</f>
        <v>0</v>
      </c>
      <c r="X70" s="210">
        <f t="shared" ref="X70" ca="1" si="182">W70-X72</f>
        <v>0</v>
      </c>
      <c r="Y70" s="210">
        <f t="shared" ref="Y70" ca="1" si="183">X70-Y72</f>
        <v>0</v>
      </c>
      <c r="Z70" s="210">
        <f t="shared" ref="Z70" ca="1" si="184">Y70-Z72</f>
        <v>0</v>
      </c>
      <c r="AA70" s="210">
        <f t="shared" ref="AA70" ca="1" si="185">Z70-AA72</f>
        <v>0</v>
      </c>
      <c r="AB70" s="210">
        <f t="shared" ref="AB70" ca="1" si="186">AA70-AB72</f>
        <v>0</v>
      </c>
      <c r="AC70" s="210">
        <f t="shared" ref="AC70" ca="1" si="187">AB70-AC72</f>
        <v>0</v>
      </c>
      <c r="AD70" s="210">
        <f t="shared" ref="AD70" ca="1" si="188">AC70-AD72</f>
        <v>0</v>
      </c>
      <c r="AE70" s="210">
        <f t="shared" ref="AE70" ca="1" si="189">AD70-AE72</f>
        <v>0</v>
      </c>
      <c r="AF70" s="210">
        <f t="shared" ref="AF70" ca="1" si="190">AE70-AF72</f>
        <v>0</v>
      </c>
      <c r="AG70" s="210">
        <f t="shared" ref="AG70" ca="1" si="191">AF70-AG72</f>
        <v>0</v>
      </c>
      <c r="AH70" s="210">
        <f t="shared" ref="AH70" ca="1" si="192">AG70-AH72</f>
        <v>0</v>
      </c>
      <c r="AI70" s="210">
        <f t="shared" ref="AI70" ca="1" si="193">AH70-AI72</f>
        <v>0</v>
      </c>
      <c r="AJ70" s="210">
        <f t="shared" ref="AJ70" ca="1" si="194">AI70-AJ72</f>
        <v>0</v>
      </c>
      <c r="AK70" s="210">
        <f t="shared" ref="AK70" ca="1" si="195">AJ70-AK72</f>
        <v>0</v>
      </c>
      <c r="AL70" s="210">
        <f t="shared" ref="AL70" ca="1" si="196">AK70-AL72</f>
        <v>0</v>
      </c>
      <c r="AM70" s="210">
        <f t="shared" ref="AM70" ca="1" si="197">AL70-AM72</f>
        <v>0</v>
      </c>
      <c r="AN70" s="210">
        <f t="shared" ref="AN70" ca="1" si="198">AM70-AN72</f>
        <v>0</v>
      </c>
      <c r="AO70" s="210">
        <f t="shared" ref="AO70" ca="1" si="199">AN70-AO72</f>
        <v>0</v>
      </c>
      <c r="AP70" s="210">
        <f t="shared" ref="AP70" ca="1" si="200">AO70-AP72</f>
        <v>0</v>
      </c>
      <c r="AQ70" s="210">
        <f t="shared" ref="AQ70" ca="1" si="201">AP70-AQ72</f>
        <v>0</v>
      </c>
      <c r="AR70" s="210">
        <f t="shared" ref="AR70" ca="1" si="202">AQ70-AR72</f>
        <v>0</v>
      </c>
      <c r="AS70" s="210">
        <f t="shared" ref="AS70" ca="1" si="203">AR70-AS72</f>
        <v>0</v>
      </c>
      <c r="AT70" s="210">
        <f t="shared" ref="AT70" ca="1" si="204">AS70-AT72</f>
        <v>0</v>
      </c>
      <c r="AU70" s="210">
        <f t="shared" ref="AU70" ca="1" si="205">AT70-AU72</f>
        <v>0</v>
      </c>
      <c r="AV70" s="210">
        <f t="shared" ref="AV70" ca="1" si="206">AU70-AV72</f>
        <v>0</v>
      </c>
      <c r="AW70" s="210">
        <f t="shared" ref="AW70" ca="1" si="207">AV70-AW72</f>
        <v>0</v>
      </c>
      <c r="AX70" s="210">
        <f t="shared" ref="AX70" ca="1" si="208">AW70-AX72</f>
        <v>0</v>
      </c>
      <c r="AY70" s="210">
        <f t="shared" ref="AY70" ca="1" si="209">AX70-AY72</f>
        <v>0</v>
      </c>
      <c r="AZ70" s="210">
        <f t="shared" ref="AZ70" ca="1" si="210">AY70-AZ72</f>
        <v>0</v>
      </c>
      <c r="BA70" s="210">
        <f t="shared" ref="BA70" ca="1" si="211">AZ70-BA72</f>
        <v>0</v>
      </c>
      <c r="BB70" s="210">
        <f t="shared" ref="BB70" ca="1" si="212">BA70-BB72</f>
        <v>0</v>
      </c>
      <c r="BC70" s="210">
        <f t="shared" ref="BC70" ca="1" si="213">BB70-BC72</f>
        <v>0</v>
      </c>
      <c r="BD70" s="210">
        <f t="shared" ref="BD70" ca="1" si="214">BC70-BD72</f>
        <v>0</v>
      </c>
      <c r="BE70" s="210">
        <f t="shared" ref="BE70" ca="1" si="215">BD70-BE72</f>
        <v>0</v>
      </c>
      <c r="BF70" s="210">
        <f t="shared" ref="BF70" ca="1" si="216">BE70-BF72</f>
        <v>0</v>
      </c>
      <c r="BG70" s="210">
        <f t="shared" ref="BG70" ca="1" si="217">BF70-BG72</f>
        <v>0</v>
      </c>
    </row>
    <row r="71" spans="1:59" s="202" customFormat="1" hidden="1">
      <c r="A71" s="90" t="s">
        <v>443</v>
      </c>
      <c r="B71" s="90"/>
      <c r="C71" s="90"/>
      <c r="D71" s="90"/>
      <c r="E71" s="90"/>
      <c r="F71" s="90"/>
      <c r="G71" s="205"/>
      <c r="H71" s="210">
        <f>IF(G67=1,1,0)</f>
        <v>0</v>
      </c>
      <c r="I71" s="210">
        <f t="shared" ref="I71" ca="1" si="218">IF(H67=1,1,0)</f>
        <v>0</v>
      </c>
      <c r="J71" s="210">
        <f t="shared" ref="J71" ca="1" si="219">IF(I67=1,1,0)</f>
        <v>0</v>
      </c>
      <c r="K71" s="210">
        <f t="shared" ref="K71" ca="1" si="220">IF(J67=1,1,0)</f>
        <v>0</v>
      </c>
      <c r="L71" s="210">
        <f t="shared" ref="L71" ca="1" si="221">IF(K67=1,1,0)</f>
        <v>0</v>
      </c>
      <c r="M71" s="210">
        <f t="shared" ref="M71" ca="1" si="222">IF(L67=1,1,0)</f>
        <v>0</v>
      </c>
      <c r="N71" s="210">
        <f t="shared" ref="N71" ca="1" si="223">IF(M67=1,1,0)</f>
        <v>0</v>
      </c>
      <c r="O71" s="210">
        <f t="shared" ref="O71" ca="1" si="224">IF(N67=1,1,0)</f>
        <v>0</v>
      </c>
      <c r="P71" s="210">
        <f t="shared" ref="P71" ca="1" si="225">IF(O67=1,1,0)</f>
        <v>0</v>
      </c>
      <c r="Q71" s="210">
        <f t="shared" ref="Q71" ca="1" si="226">IF(P67=1,1,0)</f>
        <v>0</v>
      </c>
      <c r="R71" s="210">
        <f t="shared" ref="R71" ca="1" si="227">IF(Q67=1,1,0)</f>
        <v>0</v>
      </c>
      <c r="S71" s="210">
        <f t="shared" ref="S71" ca="1" si="228">IF(R67=1,1,0)</f>
        <v>0</v>
      </c>
      <c r="T71" s="210">
        <f t="shared" ref="T71" ca="1" si="229">IF(S67=1,1,0)</f>
        <v>0</v>
      </c>
      <c r="U71" s="210">
        <f t="shared" ref="U71" ca="1" si="230">IF(T67=1,1,0)</f>
        <v>0</v>
      </c>
      <c r="V71" s="210">
        <f t="shared" ref="V71" ca="1" si="231">IF(U67=1,1,0)</f>
        <v>0</v>
      </c>
      <c r="W71" s="210">
        <f t="shared" ref="W71" ca="1" si="232">IF(V67=1,1,0)</f>
        <v>0</v>
      </c>
      <c r="X71" s="210">
        <f t="shared" ref="X71" ca="1" si="233">IF(W67=1,1,0)</f>
        <v>0</v>
      </c>
      <c r="Y71" s="210">
        <f t="shared" ref="Y71" ca="1" si="234">IF(X67=1,1,0)</f>
        <v>0</v>
      </c>
      <c r="Z71" s="210">
        <f t="shared" ref="Z71" ca="1" si="235">IF(Y67=1,1,0)</f>
        <v>0</v>
      </c>
      <c r="AA71" s="210">
        <f t="shared" ref="AA71" ca="1" si="236">IF(Z67=1,1,0)</f>
        <v>0</v>
      </c>
      <c r="AB71" s="210">
        <f t="shared" ref="AB71" ca="1" si="237">IF(AA67=1,1,0)</f>
        <v>0</v>
      </c>
      <c r="AC71" s="210">
        <f t="shared" ref="AC71" ca="1" si="238">IF(AB67=1,1,0)</f>
        <v>0</v>
      </c>
      <c r="AD71" s="210">
        <f t="shared" ref="AD71" ca="1" si="239">IF(AC67=1,1,0)</f>
        <v>0</v>
      </c>
      <c r="AE71" s="210">
        <f t="shared" ref="AE71" ca="1" si="240">IF(AD67=1,1,0)</f>
        <v>0</v>
      </c>
      <c r="AF71" s="210">
        <f t="shared" ref="AF71" ca="1" si="241">IF(AE67=1,1,0)</f>
        <v>0</v>
      </c>
      <c r="AG71" s="210">
        <f t="shared" ref="AG71" ca="1" si="242">IF(AF67=1,1,0)</f>
        <v>0</v>
      </c>
      <c r="AH71" s="210">
        <f t="shared" ref="AH71" ca="1" si="243">IF(AG67=1,1,0)</f>
        <v>0</v>
      </c>
      <c r="AI71" s="210">
        <f t="shared" ref="AI71" ca="1" si="244">IF(AH67=1,1,0)</f>
        <v>0</v>
      </c>
      <c r="AJ71" s="210">
        <f t="shared" ref="AJ71" ca="1" si="245">IF(AI67=1,1,0)</f>
        <v>0</v>
      </c>
      <c r="AK71" s="210">
        <f t="shared" ref="AK71" ca="1" si="246">IF(AJ67=1,1,0)</f>
        <v>0</v>
      </c>
      <c r="AL71" s="210">
        <f t="shared" ref="AL71" ca="1" si="247">IF(AK67=1,1,0)</f>
        <v>0</v>
      </c>
      <c r="AM71" s="210">
        <f t="shared" ref="AM71" ca="1" si="248">IF(AL67=1,1,0)</f>
        <v>0</v>
      </c>
      <c r="AN71" s="210">
        <f t="shared" ref="AN71" ca="1" si="249">IF(AM67=1,1,0)</f>
        <v>0</v>
      </c>
      <c r="AO71" s="210">
        <f t="shared" ref="AO71" ca="1" si="250">IF(AN67=1,1,0)</f>
        <v>0</v>
      </c>
      <c r="AP71" s="210">
        <f t="shared" ref="AP71" ca="1" si="251">IF(AO67=1,1,0)</f>
        <v>0</v>
      </c>
      <c r="AQ71" s="210">
        <f t="shared" ref="AQ71" ca="1" si="252">IF(AP67=1,1,0)</f>
        <v>0</v>
      </c>
      <c r="AR71" s="210">
        <f t="shared" ref="AR71" ca="1" si="253">IF(AQ67=1,1,0)</f>
        <v>0</v>
      </c>
      <c r="AS71" s="210">
        <f t="shared" ref="AS71" ca="1" si="254">IF(AR67=1,1,0)</f>
        <v>0</v>
      </c>
      <c r="AT71" s="210">
        <f t="shared" ref="AT71" ca="1" si="255">IF(AS67=1,1,0)</f>
        <v>0</v>
      </c>
      <c r="AU71" s="210">
        <f t="shared" ref="AU71" ca="1" si="256">IF(AT67=1,1,0)</f>
        <v>0</v>
      </c>
      <c r="AV71" s="210">
        <f t="shared" ref="AV71" ca="1" si="257">IF(AU67=1,1,0)</f>
        <v>0</v>
      </c>
      <c r="AW71" s="210">
        <f t="shared" ref="AW71" ca="1" si="258">IF(AV67=1,1,0)</f>
        <v>0</v>
      </c>
      <c r="AX71" s="210">
        <f t="shared" ref="AX71" ca="1" si="259">IF(AW67=1,1,0)</f>
        <v>0</v>
      </c>
      <c r="AY71" s="210">
        <f t="shared" ref="AY71" ca="1" si="260">IF(AX67=1,1,0)</f>
        <v>0</v>
      </c>
      <c r="AZ71" s="210">
        <f t="shared" ref="AZ71" ca="1" si="261">IF(AY67=1,1,0)</f>
        <v>0</v>
      </c>
      <c r="BA71" s="210">
        <f t="shared" ref="BA71" ca="1" si="262">IF(AZ67=1,1,0)</f>
        <v>0</v>
      </c>
      <c r="BB71" s="210">
        <f t="shared" ref="BB71" ca="1" si="263">IF(BA67=1,1,0)</f>
        <v>0</v>
      </c>
      <c r="BC71" s="210">
        <f t="shared" ref="BC71" ca="1" si="264">IF(BB67=1,1,0)</f>
        <v>0</v>
      </c>
      <c r="BD71" s="210">
        <f t="shared" ref="BD71" ca="1" si="265">IF(BC67=1,1,0)</f>
        <v>0</v>
      </c>
      <c r="BE71" s="210">
        <f t="shared" ref="BE71" ca="1" si="266">IF(BD67=1,1,0)</f>
        <v>0</v>
      </c>
      <c r="BF71" s="210">
        <f t="shared" ref="BF71" ca="1" si="267">IF(BE67=1,1,0)</f>
        <v>0</v>
      </c>
      <c r="BG71" s="210">
        <f t="shared" ref="BG71" ca="1" si="268">IF(BF67=1,1,0)</f>
        <v>0</v>
      </c>
    </row>
    <row r="72" spans="1:59" s="202" customFormat="1" hidden="1">
      <c r="A72" s="90" t="s">
        <v>444</v>
      </c>
      <c r="B72" s="90"/>
      <c r="C72" s="90"/>
      <c r="D72" s="90"/>
      <c r="E72" s="90"/>
      <c r="F72" s="90"/>
      <c r="G72" s="205"/>
      <c r="H72" s="210">
        <f ca="1">IF(IFERROR(SUM(OFFSET(G73,0,-'Master Tab'!$C$25+1):G73),0)='Master Tab'!$C$25,1,0)</f>
        <v>0</v>
      </c>
      <c r="I72" s="210">
        <f ca="1">IF(IFERROR(SUM(OFFSET(H73,0,-'Master Tab'!$C$25+1):H73),0)='Master Tab'!$C$25,1,0)</f>
        <v>0</v>
      </c>
      <c r="J72" s="210">
        <f ca="1">IF(IFERROR(SUM(OFFSET(I73,0,-'Master Tab'!$C$25+1):I73),0)='Master Tab'!$C$25,1,0)</f>
        <v>0</v>
      </c>
      <c r="K72" s="210">
        <f ca="1">IF(IFERROR(SUM(OFFSET(J73,0,-'Master Tab'!$C$25+1):J73),0)='Master Tab'!$C$25,1,0)</f>
        <v>0</v>
      </c>
      <c r="L72" s="210">
        <f ca="1">IF(IFERROR(SUM(OFFSET(K73,0,-'Master Tab'!$C$25+1):K73),0)='Master Tab'!$C$25,1,0)</f>
        <v>0</v>
      </c>
      <c r="M72" s="210">
        <f ca="1">IF(IFERROR(SUM(OFFSET(L73,0,-'Master Tab'!$C$25+1):L73),0)='Master Tab'!$C$25,1,0)</f>
        <v>0</v>
      </c>
      <c r="N72" s="210">
        <f ca="1">IF(IFERROR(SUM(OFFSET(M73,0,-'Master Tab'!$C$25+1):M73),0)='Master Tab'!$C$25,1,0)</f>
        <v>0</v>
      </c>
      <c r="O72" s="210">
        <f ca="1">IF(IFERROR(SUM(OFFSET(N73,0,-'Master Tab'!$C$25+1):N73),0)='Master Tab'!$C$25,1,0)</f>
        <v>0</v>
      </c>
      <c r="P72" s="210">
        <f ca="1">IF(IFERROR(SUM(OFFSET(O73,0,-'Master Tab'!$C$25+1):O73),0)='Master Tab'!$C$25,1,0)</f>
        <v>0</v>
      </c>
      <c r="Q72" s="210">
        <f ca="1">IF(IFERROR(SUM(OFFSET(P73,0,-'Master Tab'!$C$25+1):P73),0)='Master Tab'!$C$25,1,0)</f>
        <v>0</v>
      </c>
      <c r="R72" s="210">
        <f ca="1">IF(IFERROR(SUM(OFFSET(Q73,0,-'Master Tab'!$C$25+1):Q73),0)='Master Tab'!$C$25,1,0)</f>
        <v>0</v>
      </c>
      <c r="S72" s="210">
        <f ca="1">IF(IFERROR(SUM(OFFSET(R73,0,-'Master Tab'!$C$25+1):R73),0)='Master Tab'!$C$25,1,0)</f>
        <v>0</v>
      </c>
      <c r="T72" s="210">
        <f ca="1">IF(IFERROR(SUM(OFFSET(S73,0,-'Master Tab'!$C$25+1):S73),0)='Master Tab'!$C$25,1,0)</f>
        <v>0</v>
      </c>
      <c r="U72" s="210">
        <f ca="1">IF(IFERROR(SUM(OFFSET(T73,0,-'Master Tab'!$C$25+1):T73),0)='Master Tab'!$C$25,1,0)</f>
        <v>0</v>
      </c>
      <c r="V72" s="210">
        <f ca="1">IF(IFERROR(SUM(OFFSET(U73,0,-'Master Tab'!$C$25+1):U73),0)='Master Tab'!$C$25,1,0)</f>
        <v>0</v>
      </c>
      <c r="W72" s="210">
        <f ca="1">IF(IFERROR(SUM(OFFSET(V73,0,-'Master Tab'!$C$25+1):V73),0)='Master Tab'!$C$25,1,0)</f>
        <v>0</v>
      </c>
      <c r="X72" s="210">
        <f ca="1">IF(IFERROR(SUM(OFFSET(W73,0,-'Master Tab'!$C$25+1):W73),0)='Master Tab'!$C$25,1,0)</f>
        <v>0</v>
      </c>
      <c r="Y72" s="210">
        <f ca="1">IF(IFERROR(SUM(OFFSET(X73,0,-'Master Tab'!$C$25+1):X73),0)='Master Tab'!$C$25,1,0)</f>
        <v>0</v>
      </c>
      <c r="Z72" s="210">
        <f ca="1">IF(IFERROR(SUM(OFFSET(Y73,0,-'Master Tab'!$C$25+1):Y73),0)='Master Tab'!$C$25,1,0)</f>
        <v>0</v>
      </c>
      <c r="AA72" s="210">
        <f ca="1">IF(IFERROR(SUM(OFFSET(Z73,0,-'Master Tab'!$C$25+1):Z73),0)='Master Tab'!$C$25,1,0)</f>
        <v>0</v>
      </c>
      <c r="AB72" s="210">
        <f ca="1">IF(IFERROR(SUM(OFFSET(AA73,0,-'Master Tab'!$C$25+1):AA73),0)='Master Tab'!$C$25,1,0)</f>
        <v>0</v>
      </c>
      <c r="AC72" s="210">
        <f ca="1">IF(IFERROR(SUM(OFFSET(AB73,0,-'Master Tab'!$C$25+1):AB73),0)='Master Tab'!$C$25,1,0)</f>
        <v>0</v>
      </c>
      <c r="AD72" s="210">
        <f ca="1">IF(IFERROR(SUM(OFFSET(AC73,0,-'Master Tab'!$C$25+1):AC73),0)='Master Tab'!$C$25,1,0)</f>
        <v>0</v>
      </c>
      <c r="AE72" s="210">
        <f ca="1">IF(IFERROR(SUM(OFFSET(AD73,0,-'Master Tab'!$C$25+1):AD73),0)='Master Tab'!$C$25,1,0)</f>
        <v>0</v>
      </c>
      <c r="AF72" s="210">
        <f ca="1">IF(IFERROR(SUM(OFFSET(AE73,0,-'Master Tab'!$C$25+1):AE73),0)='Master Tab'!$C$25,1,0)</f>
        <v>0</v>
      </c>
      <c r="AG72" s="210">
        <f ca="1">IF(IFERROR(SUM(OFFSET(AF73,0,-'Master Tab'!$C$25+1):AF73),0)='Master Tab'!$C$25,1,0)</f>
        <v>0</v>
      </c>
      <c r="AH72" s="210">
        <f ca="1">IF(IFERROR(SUM(OFFSET(AG73,0,-'Master Tab'!$C$25+1):AG73),0)='Master Tab'!$C$25,1,0)</f>
        <v>0</v>
      </c>
      <c r="AI72" s="210">
        <f ca="1">IF(IFERROR(SUM(OFFSET(AH73,0,-'Master Tab'!$C$25+1):AH73),0)='Master Tab'!$C$25,1,0)</f>
        <v>0</v>
      </c>
      <c r="AJ72" s="210">
        <f ca="1">IF(IFERROR(SUM(OFFSET(AI73,0,-'Master Tab'!$C$25+1):AI73),0)='Master Tab'!$C$25,1,0)</f>
        <v>0</v>
      </c>
      <c r="AK72" s="210">
        <f ca="1">IF(IFERROR(SUM(OFFSET(AJ73,0,-'Master Tab'!$C$25+1):AJ73),0)='Master Tab'!$C$25,1,0)</f>
        <v>0</v>
      </c>
      <c r="AL72" s="210">
        <f ca="1">IF(IFERROR(SUM(OFFSET(AK73,0,-'Master Tab'!$C$25+1):AK73),0)='Master Tab'!$C$25,1,0)</f>
        <v>0</v>
      </c>
      <c r="AM72" s="210">
        <f ca="1">IF(IFERROR(SUM(OFFSET(AL73,0,-'Master Tab'!$C$25+1):AL73),0)='Master Tab'!$C$25,1,0)</f>
        <v>0</v>
      </c>
      <c r="AN72" s="210">
        <f ca="1">IF(IFERROR(SUM(OFFSET(AM73,0,-'Master Tab'!$C$25+1):AM73),0)='Master Tab'!$C$25,1,0)</f>
        <v>0</v>
      </c>
      <c r="AO72" s="210">
        <f ca="1">IF(IFERROR(SUM(OFFSET(AN73,0,-'Master Tab'!$C$25+1):AN73),0)='Master Tab'!$C$25,1,0)</f>
        <v>0</v>
      </c>
      <c r="AP72" s="210">
        <f ca="1">IF(IFERROR(SUM(OFFSET(AO73,0,-'Master Tab'!$C$25+1):AO73),0)='Master Tab'!$C$25,1,0)</f>
        <v>0</v>
      </c>
      <c r="AQ72" s="210">
        <f ca="1">IF(IFERROR(SUM(OFFSET(AP73,0,-'Master Tab'!$C$25+1):AP73),0)='Master Tab'!$C$25,1,0)</f>
        <v>0</v>
      </c>
      <c r="AR72" s="210">
        <f ca="1">IF(IFERROR(SUM(OFFSET(AQ73,0,-'Master Tab'!$C$25+1):AQ73),0)='Master Tab'!$C$25,1,0)</f>
        <v>0</v>
      </c>
      <c r="AS72" s="210">
        <f ca="1">IF(IFERROR(SUM(OFFSET(AR73,0,-'Master Tab'!$C$25+1):AR73),0)='Master Tab'!$C$25,1,0)</f>
        <v>0</v>
      </c>
      <c r="AT72" s="210">
        <f ca="1">IF(IFERROR(SUM(OFFSET(AS73,0,-'Master Tab'!$C$25+1):AS73),0)='Master Tab'!$C$25,1,0)</f>
        <v>0</v>
      </c>
      <c r="AU72" s="210">
        <f ca="1">IF(IFERROR(SUM(OFFSET(AT73,0,-'Master Tab'!$C$25+1):AT73),0)='Master Tab'!$C$25,1,0)</f>
        <v>0</v>
      </c>
      <c r="AV72" s="210">
        <f ca="1">IF(IFERROR(SUM(OFFSET(AU73,0,-'Master Tab'!$C$25+1):AU73),0)='Master Tab'!$C$25,1,0)</f>
        <v>0</v>
      </c>
      <c r="AW72" s="210">
        <f ca="1">IF(IFERROR(SUM(OFFSET(AV73,0,-'Master Tab'!$C$25+1):AV73),0)='Master Tab'!$C$25,1,0)</f>
        <v>0</v>
      </c>
      <c r="AX72" s="210">
        <f ca="1">IF(IFERROR(SUM(OFFSET(AW73,0,-'Master Tab'!$C$25+1):AW73),0)='Master Tab'!$C$25,1,0)</f>
        <v>0</v>
      </c>
      <c r="AY72" s="210">
        <f ca="1">IF(IFERROR(SUM(OFFSET(AX73,0,-'Master Tab'!$C$25+1):AX73),0)='Master Tab'!$C$25,1,0)</f>
        <v>0</v>
      </c>
      <c r="AZ72" s="210">
        <f ca="1">IF(IFERROR(SUM(OFFSET(AY73,0,-'Master Tab'!$C$25+1):AY73),0)='Master Tab'!$C$25,1,0)</f>
        <v>0</v>
      </c>
      <c r="BA72" s="210">
        <f ca="1">IF(IFERROR(SUM(OFFSET(AZ73,0,-'Master Tab'!$C$25+1):AZ73),0)='Master Tab'!$C$25,1,0)</f>
        <v>0</v>
      </c>
      <c r="BB72" s="210">
        <f ca="1">IF(IFERROR(SUM(OFFSET(BA73,0,-'Master Tab'!$C$25+1):BA73),0)='Master Tab'!$C$25,1,0)</f>
        <v>0</v>
      </c>
      <c r="BC72" s="210">
        <f ca="1">IF(IFERROR(SUM(OFFSET(BB73,0,-'Master Tab'!$C$25+1):BB73),0)='Master Tab'!$C$25,1,0)</f>
        <v>0</v>
      </c>
      <c r="BD72" s="210">
        <f ca="1">IF(IFERROR(SUM(OFFSET(BC73,0,-'Master Tab'!$C$25+1):BC73),0)='Master Tab'!$C$25,1,0)</f>
        <v>0</v>
      </c>
      <c r="BE72" s="210">
        <f ca="1">IF(IFERROR(SUM(OFFSET(BD73,0,-'Master Tab'!$C$25+1):BD73),0)='Master Tab'!$C$25,1,0)</f>
        <v>0</v>
      </c>
      <c r="BF72" s="210">
        <f ca="1">IF(IFERROR(SUM(OFFSET(BE73,0,-'Master Tab'!$C$25+1):BE73),0)='Master Tab'!$C$25,1,0)</f>
        <v>0</v>
      </c>
      <c r="BG72" s="210">
        <f ca="1">IF(IFERROR(SUM(OFFSET(BF73,0,-'Master Tab'!$C$25+1):BF73),0)='Master Tab'!$C$25,1,0)</f>
        <v>0</v>
      </c>
    </row>
    <row r="73" spans="1:59" s="202" customFormat="1" hidden="1">
      <c r="A73" s="295" t="s">
        <v>437</v>
      </c>
      <c r="B73" s="90"/>
      <c r="C73" s="90"/>
      <c r="D73" s="90"/>
      <c r="E73" s="90"/>
      <c r="F73" s="90"/>
      <c r="G73" s="205"/>
      <c r="H73" s="210">
        <f ca="1">IF(AND(H66&gt;0,SUM(H71,H74)&gt;0),1,0)</f>
        <v>0</v>
      </c>
      <c r="I73" s="210">
        <f ca="1">IF(AND(I66&gt;=0,SUM(I71,I74)&gt;0),1,0)</f>
        <v>0</v>
      </c>
      <c r="J73" s="210">
        <f t="shared" ref="J73:BG73" ca="1" si="269">IF(AND(J66&gt;=0,SUM(J71,J74)&gt;0),1,0)</f>
        <v>0</v>
      </c>
      <c r="K73" s="210">
        <f t="shared" ca="1" si="269"/>
        <v>0</v>
      </c>
      <c r="L73" s="210">
        <f t="shared" ca="1" si="269"/>
        <v>0</v>
      </c>
      <c r="M73" s="210">
        <f t="shared" ca="1" si="269"/>
        <v>0</v>
      </c>
      <c r="N73" s="210">
        <f t="shared" ca="1" si="269"/>
        <v>0</v>
      </c>
      <c r="O73" s="210">
        <f t="shared" ca="1" si="269"/>
        <v>0</v>
      </c>
      <c r="P73" s="210">
        <f t="shared" ca="1" si="269"/>
        <v>0</v>
      </c>
      <c r="Q73" s="210">
        <f t="shared" ca="1" si="269"/>
        <v>0</v>
      </c>
      <c r="R73" s="210">
        <f t="shared" ca="1" si="269"/>
        <v>0</v>
      </c>
      <c r="S73" s="210">
        <f t="shared" ca="1" si="269"/>
        <v>0</v>
      </c>
      <c r="T73" s="210">
        <f t="shared" ca="1" si="269"/>
        <v>0</v>
      </c>
      <c r="U73" s="210">
        <f t="shared" ca="1" si="269"/>
        <v>0</v>
      </c>
      <c r="V73" s="210">
        <f t="shared" ca="1" si="269"/>
        <v>0</v>
      </c>
      <c r="W73" s="210">
        <f t="shared" ca="1" si="269"/>
        <v>0</v>
      </c>
      <c r="X73" s="210">
        <f t="shared" ca="1" si="269"/>
        <v>0</v>
      </c>
      <c r="Y73" s="210">
        <f t="shared" ca="1" si="269"/>
        <v>0</v>
      </c>
      <c r="Z73" s="210">
        <f t="shared" ca="1" si="269"/>
        <v>0</v>
      </c>
      <c r="AA73" s="210">
        <f t="shared" ca="1" si="269"/>
        <v>0</v>
      </c>
      <c r="AB73" s="210">
        <f t="shared" ca="1" si="269"/>
        <v>0</v>
      </c>
      <c r="AC73" s="210">
        <f t="shared" ca="1" si="269"/>
        <v>0</v>
      </c>
      <c r="AD73" s="210">
        <f t="shared" ca="1" si="269"/>
        <v>0</v>
      </c>
      <c r="AE73" s="210">
        <f t="shared" ca="1" si="269"/>
        <v>0</v>
      </c>
      <c r="AF73" s="210">
        <f t="shared" ca="1" si="269"/>
        <v>0</v>
      </c>
      <c r="AG73" s="210">
        <f t="shared" ca="1" si="269"/>
        <v>0</v>
      </c>
      <c r="AH73" s="210">
        <f t="shared" ca="1" si="269"/>
        <v>0</v>
      </c>
      <c r="AI73" s="210">
        <f t="shared" ca="1" si="269"/>
        <v>0</v>
      </c>
      <c r="AJ73" s="210">
        <f t="shared" ca="1" si="269"/>
        <v>0</v>
      </c>
      <c r="AK73" s="210">
        <f t="shared" ca="1" si="269"/>
        <v>0</v>
      </c>
      <c r="AL73" s="210">
        <f t="shared" ca="1" si="269"/>
        <v>0</v>
      </c>
      <c r="AM73" s="210">
        <f t="shared" ca="1" si="269"/>
        <v>0</v>
      </c>
      <c r="AN73" s="210">
        <f t="shared" ca="1" si="269"/>
        <v>0</v>
      </c>
      <c r="AO73" s="210">
        <f t="shared" ca="1" si="269"/>
        <v>0</v>
      </c>
      <c r="AP73" s="210">
        <f t="shared" ca="1" si="269"/>
        <v>0</v>
      </c>
      <c r="AQ73" s="210">
        <f t="shared" ca="1" si="269"/>
        <v>0</v>
      </c>
      <c r="AR73" s="210">
        <f t="shared" ca="1" si="269"/>
        <v>0</v>
      </c>
      <c r="AS73" s="210">
        <f t="shared" ca="1" si="269"/>
        <v>0</v>
      </c>
      <c r="AT73" s="210">
        <f t="shared" ca="1" si="269"/>
        <v>0</v>
      </c>
      <c r="AU73" s="210">
        <f t="shared" ca="1" si="269"/>
        <v>0</v>
      </c>
      <c r="AV73" s="210">
        <f t="shared" ca="1" si="269"/>
        <v>0</v>
      </c>
      <c r="AW73" s="210">
        <f t="shared" ca="1" si="269"/>
        <v>0</v>
      </c>
      <c r="AX73" s="210">
        <f t="shared" ca="1" si="269"/>
        <v>0</v>
      </c>
      <c r="AY73" s="210">
        <f t="shared" ca="1" si="269"/>
        <v>0</v>
      </c>
      <c r="AZ73" s="210">
        <f t="shared" ca="1" si="269"/>
        <v>0</v>
      </c>
      <c r="BA73" s="210">
        <f t="shared" ca="1" si="269"/>
        <v>0</v>
      </c>
      <c r="BB73" s="210">
        <f t="shared" ca="1" si="269"/>
        <v>0</v>
      </c>
      <c r="BC73" s="210">
        <f t="shared" ca="1" si="269"/>
        <v>0</v>
      </c>
      <c r="BD73" s="210">
        <f t="shared" ca="1" si="269"/>
        <v>0</v>
      </c>
      <c r="BE73" s="210">
        <f t="shared" ca="1" si="269"/>
        <v>0</v>
      </c>
      <c r="BF73" s="210">
        <f t="shared" ca="1" si="269"/>
        <v>0</v>
      </c>
      <c r="BG73" s="210">
        <f t="shared" ca="1" si="269"/>
        <v>0</v>
      </c>
    </row>
    <row r="74" spans="1:59" s="202" customFormat="1" hidden="1">
      <c r="A74" s="90" t="s">
        <v>445</v>
      </c>
      <c r="B74" s="90"/>
      <c r="C74" s="90"/>
      <c r="D74" s="90"/>
      <c r="E74" s="90"/>
      <c r="F74" s="90"/>
      <c r="G74" s="205"/>
      <c r="H74" s="210">
        <f>IF(G71=1,'Master Tab'!$C$25-1,IF(G74&gt;0,G74-1,0))</f>
        <v>0</v>
      </c>
      <c r="I74" s="210">
        <f>IF(H71=1,'Master Tab'!$C$25-1,IF(H74&gt;0,H74-1,0))</f>
        <v>0</v>
      </c>
      <c r="J74" s="210">
        <f ca="1">IF(I71=1,'Master Tab'!$C$25-1,IF(I74&gt;0,I74-1,0))</f>
        <v>0</v>
      </c>
      <c r="K74" s="210">
        <f ca="1">IF(J71=1,'Master Tab'!$C$25-1,IF(J74&gt;0,J74-1,0))</f>
        <v>0</v>
      </c>
      <c r="L74" s="210">
        <f ca="1">IF(K71=1,'Master Tab'!$C$25-1,IF(K74&gt;0,K74-1,0))</f>
        <v>0</v>
      </c>
      <c r="M74" s="210">
        <f ca="1">IF(L71=1,'Master Tab'!$C$25-1,IF(L74&gt;0,L74-1,0))</f>
        <v>0</v>
      </c>
      <c r="N74" s="210">
        <f ca="1">IF(M71=1,'Master Tab'!$C$25-1,IF(M74&gt;0,M74-1,0))</f>
        <v>0</v>
      </c>
      <c r="O74" s="210">
        <f ca="1">IF(N71=1,'Master Tab'!$C$25-1,IF(N74&gt;0,N74-1,0))</f>
        <v>0</v>
      </c>
      <c r="P74" s="210">
        <f ca="1">IF(O71=1,'Master Tab'!$C$25-1,IF(O74&gt;0,O74-1,0))</f>
        <v>0</v>
      </c>
      <c r="Q74" s="210">
        <f ca="1">IF(P71=1,'Master Tab'!$C$25-1,IF(P74&gt;0,P74-1,0))</f>
        <v>0</v>
      </c>
      <c r="R74" s="210">
        <f ca="1">IF(Q71=1,'Master Tab'!$C$25-1,IF(Q74&gt;0,Q74-1,0))</f>
        <v>0</v>
      </c>
      <c r="S74" s="210">
        <f ca="1">IF(R71=1,'Master Tab'!$C$25-1,IF(R74&gt;0,R74-1,0))</f>
        <v>0</v>
      </c>
      <c r="T74" s="210">
        <f ca="1">IF(S71=1,'Master Tab'!$C$25-1,IF(S74&gt;0,S74-1,0))</f>
        <v>0</v>
      </c>
      <c r="U74" s="210">
        <f ca="1">IF(T71=1,'Master Tab'!$C$25-1,IF(T74&gt;0,T74-1,0))</f>
        <v>0</v>
      </c>
      <c r="V74" s="210">
        <f ca="1">IF(U71=1,'Master Tab'!$C$25-1,IF(U74&gt;0,U74-1,0))</f>
        <v>0</v>
      </c>
      <c r="W74" s="210">
        <f ca="1">IF(V71=1,'Master Tab'!$C$25-1,IF(V74&gt;0,V74-1,0))</f>
        <v>0</v>
      </c>
      <c r="X74" s="210">
        <f ca="1">IF(W71=1,'Master Tab'!$C$25-1,IF(W74&gt;0,W74-1,0))</f>
        <v>0</v>
      </c>
      <c r="Y74" s="210">
        <f ca="1">IF(X71=1,'Master Tab'!$C$25-1,IF(X74&gt;0,X74-1,0))</f>
        <v>0</v>
      </c>
      <c r="Z74" s="210">
        <f ca="1">IF(Y71=1,'Master Tab'!$C$25-1,IF(Y74&gt;0,Y74-1,0))</f>
        <v>0</v>
      </c>
      <c r="AA74" s="210">
        <f ca="1">IF(Z71=1,'Master Tab'!$C$25-1,IF(Z74&gt;0,Z74-1,0))</f>
        <v>0</v>
      </c>
      <c r="AB74" s="210">
        <f ca="1">IF(AA71=1,'Master Tab'!$C$25-1,IF(AA74&gt;0,AA74-1,0))</f>
        <v>0</v>
      </c>
      <c r="AC74" s="210">
        <f ca="1">IF(AB71=1,'Master Tab'!$C$25-1,IF(AB74&gt;0,AB74-1,0))</f>
        <v>0</v>
      </c>
      <c r="AD74" s="210">
        <f ca="1">IF(AC71=1,'Master Tab'!$C$25-1,IF(AC74&gt;0,AC74-1,0))</f>
        <v>0</v>
      </c>
      <c r="AE74" s="210">
        <f ca="1">IF(AD71=1,'Master Tab'!$C$25-1,IF(AD74&gt;0,AD74-1,0))</f>
        <v>0</v>
      </c>
      <c r="AF74" s="210">
        <f ca="1">IF(AE71=1,'Master Tab'!$C$25-1,IF(AE74&gt;0,AE74-1,0))</f>
        <v>0</v>
      </c>
      <c r="AG74" s="210">
        <f ca="1">IF(AF71=1,'Master Tab'!$C$25-1,IF(AF74&gt;0,AF74-1,0))</f>
        <v>0</v>
      </c>
      <c r="AH74" s="210">
        <f ca="1">IF(AG71=1,'Master Tab'!$C$25-1,IF(AG74&gt;0,AG74-1,0))</f>
        <v>0</v>
      </c>
      <c r="AI74" s="210">
        <f ca="1">IF(AH71=1,'Master Tab'!$C$25-1,IF(AH74&gt;0,AH74-1,0))</f>
        <v>0</v>
      </c>
      <c r="AJ74" s="210">
        <f ca="1">IF(AI71=1,'Master Tab'!$C$25-1,IF(AI74&gt;0,AI74-1,0))</f>
        <v>0</v>
      </c>
      <c r="AK74" s="210">
        <f ca="1">IF(AJ71=1,'Master Tab'!$C$25-1,IF(AJ74&gt;0,AJ74-1,0))</f>
        <v>0</v>
      </c>
      <c r="AL74" s="210">
        <f ca="1">IF(AK71=1,'Master Tab'!$C$25-1,IF(AK74&gt;0,AK74-1,0))</f>
        <v>0</v>
      </c>
      <c r="AM74" s="210">
        <f ca="1">IF(AL71=1,'Master Tab'!$C$25-1,IF(AL74&gt;0,AL74-1,0))</f>
        <v>0</v>
      </c>
      <c r="AN74" s="210">
        <f ca="1">IF(AM71=1,'Master Tab'!$C$25-1,IF(AM74&gt;0,AM74-1,0))</f>
        <v>0</v>
      </c>
      <c r="AO74" s="210">
        <f ca="1">IF(AN71=1,'Master Tab'!$C$25-1,IF(AN74&gt;0,AN74-1,0))</f>
        <v>0</v>
      </c>
      <c r="AP74" s="210">
        <f ca="1">IF(AO71=1,'Master Tab'!$C$25-1,IF(AO74&gt;0,AO74-1,0))</f>
        <v>0</v>
      </c>
      <c r="AQ74" s="210">
        <f ca="1">IF(AP71=1,'Master Tab'!$C$25-1,IF(AP74&gt;0,AP74-1,0))</f>
        <v>0</v>
      </c>
      <c r="AR74" s="210">
        <f ca="1">IF(AQ71=1,'Master Tab'!$C$25-1,IF(AQ74&gt;0,AQ74-1,0))</f>
        <v>0</v>
      </c>
      <c r="AS74" s="210">
        <f ca="1">IF(AR71=1,'Master Tab'!$C$25-1,IF(AR74&gt;0,AR74-1,0))</f>
        <v>0</v>
      </c>
      <c r="AT74" s="210">
        <f ca="1">IF(AS71=1,'Master Tab'!$C$25-1,IF(AS74&gt;0,AS74-1,0))</f>
        <v>0</v>
      </c>
      <c r="AU74" s="210">
        <f ca="1">IF(AT71=1,'Master Tab'!$C$25-1,IF(AT74&gt;0,AT74-1,0))</f>
        <v>0</v>
      </c>
      <c r="AV74" s="210">
        <f ca="1">IF(AU71=1,'Master Tab'!$C$25-1,IF(AU74&gt;0,AU74-1,0))</f>
        <v>0</v>
      </c>
      <c r="AW74" s="210">
        <f ca="1">IF(AV71=1,'Master Tab'!$C$25-1,IF(AV74&gt;0,AV74-1,0))</f>
        <v>0</v>
      </c>
      <c r="AX74" s="210">
        <f ca="1">IF(AW71=1,'Master Tab'!$C$25-1,IF(AW74&gt;0,AW74-1,0))</f>
        <v>0</v>
      </c>
      <c r="AY74" s="210">
        <f ca="1">IF(AX71=1,'Master Tab'!$C$25-1,IF(AX74&gt;0,AX74-1,0))</f>
        <v>0</v>
      </c>
      <c r="AZ74" s="210">
        <f ca="1">IF(AY71=1,'Master Tab'!$C$25-1,IF(AY74&gt;0,AY74-1,0))</f>
        <v>0</v>
      </c>
      <c r="BA74" s="210">
        <f ca="1">IF(AZ71=1,'Master Tab'!$C$25-1,IF(AZ74&gt;0,AZ74-1,0))</f>
        <v>0</v>
      </c>
      <c r="BB74" s="210">
        <f ca="1">IF(BA71=1,'Master Tab'!$C$25-1,IF(BA74&gt;0,BA74-1,0))</f>
        <v>0</v>
      </c>
      <c r="BC74" s="210">
        <f ca="1">IF(BB71=1,'Master Tab'!$C$25-1,IF(BB74&gt;0,BB74-1,0))</f>
        <v>0</v>
      </c>
      <c r="BD74" s="210">
        <f ca="1">IF(BC71=1,'Master Tab'!$C$25-1,IF(BC74&gt;0,BC74-1,0))</f>
        <v>0</v>
      </c>
      <c r="BE74" s="210">
        <f ca="1">IF(BD71=1,'Master Tab'!$C$25-1,IF(BD74&gt;0,BD74-1,0))</f>
        <v>0</v>
      </c>
      <c r="BF74" s="210">
        <f ca="1">IF(BE71=1,'Master Tab'!$C$25-1,IF(BE74&gt;0,BE74-1,0))</f>
        <v>0</v>
      </c>
      <c r="BG74" s="210">
        <f ca="1">IF(BF71=1,'Master Tab'!$C$25-1,IF(BF74&gt;0,BF74-1,0))</f>
        <v>0</v>
      </c>
    </row>
  </sheetData>
  <conditionalFormatting sqref="H19:BG20">
    <cfRule type="cellIs" dxfId="55" priority="95" operator="greaterThan">
      <formula>0</formula>
    </cfRule>
  </conditionalFormatting>
  <conditionalFormatting sqref="H35:BG35 H53:BG54 H21:BG21">
    <cfRule type="cellIs" dxfId="54" priority="93" operator="greaterThan">
      <formula>0</formula>
    </cfRule>
  </conditionalFormatting>
  <conditionalFormatting sqref="H65:BG65">
    <cfRule type="cellIs" dxfId="53" priority="65" operator="greaterThan">
      <formula>0</formula>
    </cfRule>
  </conditionalFormatting>
  <conditionalFormatting sqref="H23:BG23">
    <cfRule type="cellIs" dxfId="52" priority="64" operator="greaterThan">
      <formula>0</formula>
    </cfRule>
  </conditionalFormatting>
  <conditionalFormatting sqref="H24:BG24">
    <cfRule type="cellIs" dxfId="51" priority="58" operator="greaterThan">
      <formula>0</formula>
    </cfRule>
  </conditionalFormatting>
  <conditionalFormatting sqref="H22:BG22">
    <cfRule type="cellIs" dxfId="50" priority="55" operator="greaterThan">
      <formula>0</formula>
    </cfRule>
  </conditionalFormatting>
  <conditionalFormatting sqref="H25:BG25 H32:BG34">
    <cfRule type="cellIs" dxfId="49" priority="49" operator="greaterThan">
      <formula>0</formula>
    </cfRule>
  </conditionalFormatting>
  <conditionalFormatting sqref="H28:BG29">
    <cfRule type="cellIs" dxfId="48" priority="46" operator="greaterThan">
      <formula>0</formula>
    </cfRule>
  </conditionalFormatting>
  <conditionalFormatting sqref="H26:BG26">
    <cfRule type="cellIs" dxfId="47" priority="45" operator="greaterThan">
      <formula>0</formula>
    </cfRule>
  </conditionalFormatting>
  <conditionalFormatting sqref="H27:BG29">
    <cfRule type="cellIs" dxfId="46" priority="44" operator="greaterThan">
      <formula>0</formula>
    </cfRule>
  </conditionalFormatting>
  <conditionalFormatting sqref="H26:BG26">
    <cfRule type="cellIs" dxfId="45" priority="43" operator="greaterThan">
      <formula>0</formula>
    </cfRule>
  </conditionalFormatting>
  <conditionalFormatting sqref="H30:BG31">
    <cfRule type="cellIs" dxfId="44" priority="33" operator="greaterThan">
      <formula>0</formula>
    </cfRule>
  </conditionalFormatting>
  <conditionalFormatting sqref="H11:BG11">
    <cfRule type="cellIs" dxfId="43" priority="32" operator="greaterThan">
      <formula>0</formula>
    </cfRule>
  </conditionalFormatting>
  <conditionalFormatting sqref="H12:BG12">
    <cfRule type="cellIs" dxfId="42" priority="30" operator="greaterThan">
      <formula>0</formula>
    </cfRule>
  </conditionalFormatting>
  <conditionalFormatting sqref="H13:BG13">
    <cfRule type="cellIs" dxfId="41" priority="29" operator="greaterThan">
      <formula>0</formula>
    </cfRule>
  </conditionalFormatting>
  <conditionalFormatting sqref="H14:BG15">
    <cfRule type="cellIs" dxfId="40" priority="28" operator="greaterThan">
      <formula>0</formula>
    </cfRule>
  </conditionalFormatting>
  <conditionalFormatting sqref="H16:BG17">
    <cfRule type="cellIs" dxfId="39" priority="27" operator="greaterThan">
      <formula>0</formula>
    </cfRule>
  </conditionalFormatting>
  <conditionalFormatting sqref="H15:BG15">
    <cfRule type="cellIs" dxfId="38" priority="26" operator="greaterThan">
      <formula>0</formula>
    </cfRule>
  </conditionalFormatting>
  <conditionalFormatting sqref="H17:BG17">
    <cfRule type="cellIs" dxfId="37" priority="2" operator="greaterThan">
      <formula>0</formula>
    </cfRule>
  </conditionalFormatting>
  <conditionalFormatting sqref="E41">
    <cfRule type="expression" dxfId="36" priority="1">
      <formula>MOD(ROW(),2)=0</formula>
    </cfRule>
  </conditionalFormatting>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F39F0-4296-4C97-9AFC-95234AD5A808}">
  <sheetPr codeName="Sheet34"/>
  <dimension ref="A3:X52"/>
  <sheetViews>
    <sheetView workbookViewId="0">
      <selection activeCell="A30" sqref="A30"/>
    </sheetView>
  </sheetViews>
  <sheetFormatPr defaultRowHeight="15"/>
  <cols>
    <col min="1" max="1" width="27.5703125" bestFit="1" customWidth="1"/>
    <col min="2" max="2" width="16.5703125" customWidth="1"/>
    <col min="3" max="3" width="26.28515625" bestFit="1" customWidth="1"/>
    <col min="4" max="4" width="10" customWidth="1"/>
    <col min="5" max="5" width="8.5703125" customWidth="1"/>
    <col min="24" max="24" width="5.28515625" bestFit="1" customWidth="1"/>
  </cols>
  <sheetData>
    <row r="3" spans="3:24" ht="15.75" thickBot="1">
      <c r="C3" t="s">
        <v>781</v>
      </c>
    </row>
    <row r="4" spans="3:24">
      <c r="C4" s="531" t="s">
        <v>765</v>
      </c>
      <c r="D4" s="318" t="s">
        <v>512</v>
      </c>
      <c r="E4" s="532" t="s">
        <v>149</v>
      </c>
    </row>
    <row r="5" spans="3:24" ht="51" customHeight="1">
      <c r="C5" s="152" t="s">
        <v>768</v>
      </c>
      <c r="D5" s="526" t="s">
        <v>769</v>
      </c>
      <c r="E5" s="529" t="s">
        <v>770</v>
      </c>
    </row>
    <row r="6" spans="3:24" ht="48.6" customHeight="1">
      <c r="C6" s="152" t="s">
        <v>767</v>
      </c>
      <c r="D6" s="526" t="s">
        <v>766</v>
      </c>
      <c r="E6" s="529" t="s">
        <v>772</v>
      </c>
    </row>
    <row r="7" spans="3:24" ht="32.450000000000003" customHeight="1">
      <c r="C7" s="152" t="s">
        <v>773</v>
      </c>
      <c r="D7" s="526" t="s">
        <v>774</v>
      </c>
      <c r="E7" s="529" t="s">
        <v>775</v>
      </c>
    </row>
    <row r="8" spans="3:24" ht="47.1" customHeight="1">
      <c r="C8" s="152" t="s">
        <v>776</v>
      </c>
      <c r="D8" s="527" t="s">
        <v>777</v>
      </c>
      <c r="E8" s="529" t="s">
        <v>778</v>
      </c>
    </row>
    <row r="9" spans="3:24" ht="47.1" customHeight="1">
      <c r="C9" s="152" t="s">
        <v>787</v>
      </c>
      <c r="D9" s="545" t="s">
        <v>786</v>
      </c>
      <c r="E9" s="529" t="s">
        <v>785</v>
      </c>
    </row>
    <row r="10" spans="3:24" ht="48" customHeight="1" thickBot="1">
      <c r="C10" s="155" t="s">
        <v>356</v>
      </c>
      <c r="D10" s="528" t="s">
        <v>779</v>
      </c>
      <c r="E10" s="530" t="s">
        <v>780</v>
      </c>
    </row>
    <row r="11" spans="3:24">
      <c r="E11" s="97"/>
    </row>
    <row r="12" spans="3:24">
      <c r="E12" s="97"/>
    </row>
    <row r="13" spans="3:24" ht="15.75" thickBot="1">
      <c r="C13" t="s">
        <v>782</v>
      </c>
    </row>
    <row r="14" spans="3:24">
      <c r="C14" s="533" t="s">
        <v>122</v>
      </c>
      <c r="D14" s="534">
        <v>2023</v>
      </c>
      <c r="E14" s="534">
        <v>2024</v>
      </c>
      <c r="F14" s="534">
        <v>2025</v>
      </c>
      <c r="G14" s="534">
        <v>2026</v>
      </c>
      <c r="H14" s="534">
        <v>2027</v>
      </c>
      <c r="I14" s="534">
        <v>2028</v>
      </c>
      <c r="J14" s="534">
        <v>2029</v>
      </c>
      <c r="K14" s="534">
        <v>2030</v>
      </c>
      <c r="L14" s="534">
        <v>2031</v>
      </c>
      <c r="M14" s="534">
        <v>2032</v>
      </c>
      <c r="N14" s="534">
        <v>2033</v>
      </c>
      <c r="O14" s="534">
        <v>2034</v>
      </c>
      <c r="P14" s="534">
        <v>2035</v>
      </c>
      <c r="Q14" s="534">
        <v>2036</v>
      </c>
      <c r="R14" s="534">
        <v>2037</v>
      </c>
      <c r="S14" s="534">
        <v>2038</v>
      </c>
      <c r="T14" s="534">
        <v>2039</v>
      </c>
      <c r="U14" s="534">
        <v>2040</v>
      </c>
      <c r="V14" s="534">
        <v>2041</v>
      </c>
      <c r="W14" s="534">
        <v>2042</v>
      </c>
      <c r="X14" s="534">
        <v>2043</v>
      </c>
    </row>
    <row r="15" spans="3:24">
      <c r="C15" s="537" t="s">
        <v>771</v>
      </c>
      <c r="D15" s="538">
        <v>4.0999999999999996</v>
      </c>
      <c r="E15" s="538">
        <v>2.6</v>
      </c>
      <c r="F15" s="538">
        <v>2.2999999999999998</v>
      </c>
      <c r="G15" s="539">
        <v>2</v>
      </c>
      <c r="H15" s="539">
        <v>2</v>
      </c>
      <c r="I15" s="539">
        <v>2</v>
      </c>
      <c r="J15" s="539">
        <v>2</v>
      </c>
      <c r="K15" s="539">
        <v>2</v>
      </c>
      <c r="L15" s="539">
        <v>2</v>
      </c>
      <c r="M15" s="539">
        <v>2</v>
      </c>
      <c r="N15" s="539">
        <v>2</v>
      </c>
      <c r="O15" s="539">
        <v>2</v>
      </c>
      <c r="P15" s="539">
        <v>2</v>
      </c>
      <c r="Q15" s="539">
        <v>2</v>
      </c>
      <c r="R15" s="539">
        <v>2</v>
      </c>
      <c r="S15" s="539">
        <v>2</v>
      </c>
      <c r="T15" s="539">
        <v>2</v>
      </c>
      <c r="U15" s="539">
        <v>2</v>
      </c>
      <c r="V15" s="539">
        <v>2</v>
      </c>
      <c r="W15" s="539">
        <v>2</v>
      </c>
      <c r="X15" s="540">
        <v>2</v>
      </c>
    </row>
    <row r="16" spans="3:24">
      <c r="C16" s="537" t="s">
        <v>688</v>
      </c>
      <c r="D16" s="539">
        <f>D15+0.5</f>
        <v>4.5999999999999996</v>
      </c>
      <c r="E16" s="539">
        <f t="shared" ref="E16:G16" si="0">E15+0.5</f>
        <v>3.1</v>
      </c>
      <c r="F16" s="539">
        <f t="shared" si="0"/>
        <v>2.8</v>
      </c>
      <c r="G16" s="539">
        <f t="shared" si="0"/>
        <v>2.5</v>
      </c>
      <c r="H16" s="539">
        <f>H15</f>
        <v>2</v>
      </c>
      <c r="I16" s="539">
        <f t="shared" ref="I16:X16" si="1">I15</f>
        <v>2</v>
      </c>
      <c r="J16" s="539">
        <f t="shared" si="1"/>
        <v>2</v>
      </c>
      <c r="K16" s="539">
        <f t="shared" si="1"/>
        <v>2</v>
      </c>
      <c r="L16" s="539">
        <f t="shared" si="1"/>
        <v>2</v>
      </c>
      <c r="M16" s="539">
        <f t="shared" si="1"/>
        <v>2</v>
      </c>
      <c r="N16" s="539">
        <f t="shared" si="1"/>
        <v>2</v>
      </c>
      <c r="O16" s="539">
        <f t="shared" si="1"/>
        <v>2</v>
      </c>
      <c r="P16" s="539">
        <f t="shared" si="1"/>
        <v>2</v>
      </c>
      <c r="Q16" s="539">
        <f t="shared" si="1"/>
        <v>2</v>
      </c>
      <c r="R16" s="539">
        <f t="shared" si="1"/>
        <v>2</v>
      </c>
      <c r="S16" s="539">
        <f t="shared" si="1"/>
        <v>2</v>
      </c>
      <c r="T16" s="539">
        <f t="shared" si="1"/>
        <v>2</v>
      </c>
      <c r="U16" s="539">
        <f t="shared" si="1"/>
        <v>2</v>
      </c>
      <c r="V16" s="539">
        <f t="shared" si="1"/>
        <v>2</v>
      </c>
      <c r="W16" s="539">
        <f t="shared" si="1"/>
        <v>2</v>
      </c>
      <c r="X16" s="540">
        <f t="shared" si="1"/>
        <v>2</v>
      </c>
    </row>
    <row r="17" spans="1:24">
      <c r="C17" s="537" t="s">
        <v>764</v>
      </c>
      <c r="D17" s="538">
        <v>9</v>
      </c>
      <c r="E17" s="539">
        <f>E15</f>
        <v>2.6</v>
      </c>
      <c r="F17" s="539">
        <f t="shared" ref="F17:X17" si="2">F15</f>
        <v>2.2999999999999998</v>
      </c>
      <c r="G17" s="539">
        <f t="shared" si="2"/>
        <v>2</v>
      </c>
      <c r="H17" s="539">
        <f t="shared" si="2"/>
        <v>2</v>
      </c>
      <c r="I17" s="539">
        <f t="shared" si="2"/>
        <v>2</v>
      </c>
      <c r="J17" s="539">
        <f t="shared" si="2"/>
        <v>2</v>
      </c>
      <c r="K17" s="539">
        <f t="shared" si="2"/>
        <v>2</v>
      </c>
      <c r="L17" s="539">
        <f t="shared" si="2"/>
        <v>2</v>
      </c>
      <c r="M17" s="539">
        <f t="shared" si="2"/>
        <v>2</v>
      </c>
      <c r="N17" s="539">
        <f t="shared" si="2"/>
        <v>2</v>
      </c>
      <c r="O17" s="539">
        <f t="shared" si="2"/>
        <v>2</v>
      </c>
      <c r="P17" s="539">
        <f t="shared" si="2"/>
        <v>2</v>
      </c>
      <c r="Q17" s="539">
        <f t="shared" si="2"/>
        <v>2</v>
      </c>
      <c r="R17" s="539">
        <f t="shared" si="2"/>
        <v>2</v>
      </c>
      <c r="S17" s="539">
        <f t="shared" si="2"/>
        <v>2</v>
      </c>
      <c r="T17" s="539">
        <f t="shared" si="2"/>
        <v>2</v>
      </c>
      <c r="U17" s="539">
        <f t="shared" si="2"/>
        <v>2</v>
      </c>
      <c r="V17" s="539">
        <f t="shared" si="2"/>
        <v>2</v>
      </c>
      <c r="W17" s="539">
        <f t="shared" si="2"/>
        <v>2</v>
      </c>
      <c r="X17" s="540">
        <f t="shared" si="2"/>
        <v>2</v>
      </c>
    </row>
    <row r="18" spans="1:24">
      <c r="C18" s="537" t="s">
        <v>212</v>
      </c>
      <c r="D18" s="538">
        <v>0.3</v>
      </c>
      <c r="E18" s="539">
        <f>E15</f>
        <v>2.6</v>
      </c>
      <c r="F18" s="539">
        <f t="shared" ref="F18:X18" si="3">F15</f>
        <v>2.2999999999999998</v>
      </c>
      <c r="G18" s="539">
        <f t="shared" si="3"/>
        <v>2</v>
      </c>
      <c r="H18" s="539">
        <f t="shared" si="3"/>
        <v>2</v>
      </c>
      <c r="I18" s="539">
        <f t="shared" si="3"/>
        <v>2</v>
      </c>
      <c r="J18" s="539">
        <f t="shared" si="3"/>
        <v>2</v>
      </c>
      <c r="K18" s="539">
        <f t="shared" si="3"/>
        <v>2</v>
      </c>
      <c r="L18" s="539">
        <f t="shared" si="3"/>
        <v>2</v>
      </c>
      <c r="M18" s="539">
        <f t="shared" si="3"/>
        <v>2</v>
      </c>
      <c r="N18" s="539">
        <f t="shared" si="3"/>
        <v>2</v>
      </c>
      <c r="O18" s="539">
        <f t="shared" si="3"/>
        <v>2</v>
      </c>
      <c r="P18" s="539">
        <f t="shared" si="3"/>
        <v>2</v>
      </c>
      <c r="Q18" s="539">
        <f t="shared" si="3"/>
        <v>2</v>
      </c>
      <c r="R18" s="539">
        <f t="shared" si="3"/>
        <v>2</v>
      </c>
      <c r="S18" s="539">
        <f t="shared" si="3"/>
        <v>2</v>
      </c>
      <c r="T18" s="539">
        <f t="shared" si="3"/>
        <v>2</v>
      </c>
      <c r="U18" s="539">
        <f t="shared" si="3"/>
        <v>2</v>
      </c>
      <c r="V18" s="539">
        <f t="shared" si="3"/>
        <v>2</v>
      </c>
      <c r="W18" s="539">
        <f t="shared" si="3"/>
        <v>2</v>
      </c>
      <c r="X18" s="540">
        <f t="shared" si="3"/>
        <v>2</v>
      </c>
    </row>
    <row r="19" spans="1:24">
      <c r="C19" s="537" t="s">
        <v>2</v>
      </c>
      <c r="D19" s="539">
        <f>D15+0.5</f>
        <v>4.5999999999999996</v>
      </c>
      <c r="E19" s="539">
        <f t="shared" ref="E19:G19" si="4">E15+0.5</f>
        <v>3.1</v>
      </c>
      <c r="F19" s="539">
        <f t="shared" si="4"/>
        <v>2.8</v>
      </c>
      <c r="G19" s="539">
        <f t="shared" si="4"/>
        <v>2.5</v>
      </c>
      <c r="H19" s="539">
        <f>H15</f>
        <v>2</v>
      </c>
      <c r="I19" s="539">
        <f t="shared" ref="I19:X19" si="5">I15</f>
        <v>2</v>
      </c>
      <c r="J19" s="539">
        <f t="shared" si="5"/>
        <v>2</v>
      </c>
      <c r="K19" s="539">
        <f t="shared" si="5"/>
        <v>2</v>
      </c>
      <c r="L19" s="539">
        <f t="shared" si="5"/>
        <v>2</v>
      </c>
      <c r="M19" s="539">
        <f t="shared" si="5"/>
        <v>2</v>
      </c>
      <c r="N19" s="539">
        <f t="shared" si="5"/>
        <v>2</v>
      </c>
      <c r="O19" s="539">
        <f t="shared" si="5"/>
        <v>2</v>
      </c>
      <c r="P19" s="539">
        <f t="shared" si="5"/>
        <v>2</v>
      </c>
      <c r="Q19" s="539">
        <f t="shared" si="5"/>
        <v>2</v>
      </c>
      <c r="R19" s="539">
        <f t="shared" si="5"/>
        <v>2</v>
      </c>
      <c r="S19" s="539">
        <f t="shared" si="5"/>
        <v>2</v>
      </c>
      <c r="T19" s="539">
        <f t="shared" si="5"/>
        <v>2</v>
      </c>
      <c r="U19" s="539">
        <f t="shared" si="5"/>
        <v>2</v>
      </c>
      <c r="V19" s="539">
        <f t="shared" si="5"/>
        <v>2</v>
      </c>
      <c r="W19" s="539">
        <f t="shared" si="5"/>
        <v>2</v>
      </c>
      <c r="X19" s="540">
        <f t="shared" si="5"/>
        <v>2</v>
      </c>
    </row>
    <row r="20" spans="1:24" ht="15.75" thickBot="1">
      <c r="C20" s="546" t="s">
        <v>690</v>
      </c>
      <c r="D20" s="541">
        <v>4.1223832528180404</v>
      </c>
      <c r="E20" s="541">
        <v>-7.9286524383957113</v>
      </c>
      <c r="F20" s="541">
        <v>-5.1287793952967569</v>
      </c>
      <c r="G20" s="541">
        <v>1.9830028328611915</v>
      </c>
      <c r="H20" s="541">
        <v>2.4652777777777857</v>
      </c>
      <c r="I20" s="541">
        <v>1.6378628713430432</v>
      </c>
      <c r="J20" s="542">
        <f>J15</f>
        <v>2</v>
      </c>
      <c r="K20" s="542">
        <f t="shared" ref="K20:X20" si="6">K15</f>
        <v>2</v>
      </c>
      <c r="L20" s="542">
        <f t="shared" si="6"/>
        <v>2</v>
      </c>
      <c r="M20" s="542">
        <f t="shared" si="6"/>
        <v>2</v>
      </c>
      <c r="N20" s="542">
        <f t="shared" si="6"/>
        <v>2</v>
      </c>
      <c r="O20" s="542">
        <f t="shared" si="6"/>
        <v>2</v>
      </c>
      <c r="P20" s="542">
        <f t="shared" si="6"/>
        <v>2</v>
      </c>
      <c r="Q20" s="542">
        <f t="shared" si="6"/>
        <v>2</v>
      </c>
      <c r="R20" s="542">
        <f t="shared" si="6"/>
        <v>2</v>
      </c>
      <c r="S20" s="542">
        <f t="shared" si="6"/>
        <v>2</v>
      </c>
      <c r="T20" s="542">
        <f t="shared" si="6"/>
        <v>2</v>
      </c>
      <c r="U20" s="542">
        <f t="shared" si="6"/>
        <v>2</v>
      </c>
      <c r="V20" s="542">
        <f t="shared" si="6"/>
        <v>2</v>
      </c>
      <c r="W20" s="542">
        <f t="shared" si="6"/>
        <v>2</v>
      </c>
      <c r="X20" s="543">
        <f t="shared" si="6"/>
        <v>2</v>
      </c>
    </row>
    <row r="22" spans="1:24">
      <c r="C22" s="177"/>
    </row>
    <row r="24" spans="1:24" ht="15.75" thickBot="1">
      <c r="A24" t="s">
        <v>795</v>
      </c>
      <c r="C24" t="s">
        <v>783</v>
      </c>
    </row>
    <row r="25" spans="1:24">
      <c r="A25" s="554"/>
      <c r="C25" s="533" t="s">
        <v>122</v>
      </c>
      <c r="D25" s="534">
        <v>2023</v>
      </c>
      <c r="E25" s="534">
        <v>2024</v>
      </c>
      <c r="F25" s="534">
        <v>2025</v>
      </c>
      <c r="G25" s="534">
        <v>2026</v>
      </c>
      <c r="H25" s="534">
        <v>2027</v>
      </c>
      <c r="I25" s="534">
        <v>2028</v>
      </c>
      <c r="J25" s="534">
        <v>2029</v>
      </c>
      <c r="K25" s="534">
        <v>2030</v>
      </c>
      <c r="L25" s="534">
        <v>2031</v>
      </c>
      <c r="M25" s="534">
        <v>2032</v>
      </c>
      <c r="N25" s="534">
        <v>2033</v>
      </c>
      <c r="O25" s="534">
        <v>2034</v>
      </c>
      <c r="P25" s="534">
        <v>2035</v>
      </c>
      <c r="Q25" s="534">
        <v>2036</v>
      </c>
      <c r="R25" s="534">
        <v>2037</v>
      </c>
      <c r="S25" s="534">
        <v>2038</v>
      </c>
      <c r="T25" s="534">
        <v>2039</v>
      </c>
      <c r="U25" s="534">
        <v>2040</v>
      </c>
      <c r="V25" s="534">
        <v>2041</v>
      </c>
      <c r="W25" s="534">
        <v>2042</v>
      </c>
      <c r="X25" s="534">
        <v>2043</v>
      </c>
    </row>
    <row r="26" spans="1:24">
      <c r="A26" s="555">
        <v>0.5</v>
      </c>
      <c r="B26" s="544"/>
      <c r="C26" s="537" t="s">
        <v>688</v>
      </c>
      <c r="D26" s="539">
        <f>D16+$A26</f>
        <v>5.0999999999999996</v>
      </c>
      <c r="E26" s="539">
        <f t="shared" ref="E26:X26" si="7">E16+$A26</f>
        <v>3.6</v>
      </c>
      <c r="F26" s="539">
        <f t="shared" si="7"/>
        <v>3.3</v>
      </c>
      <c r="G26" s="539">
        <f t="shared" si="7"/>
        <v>3</v>
      </c>
      <c r="H26" s="539">
        <f t="shared" si="7"/>
        <v>2.5</v>
      </c>
      <c r="I26" s="539">
        <f t="shared" si="7"/>
        <v>2.5</v>
      </c>
      <c r="J26" s="539">
        <f t="shared" si="7"/>
        <v>2.5</v>
      </c>
      <c r="K26" s="539">
        <f t="shared" si="7"/>
        <v>2.5</v>
      </c>
      <c r="L26" s="539">
        <f t="shared" si="7"/>
        <v>2.5</v>
      </c>
      <c r="M26" s="539">
        <f t="shared" si="7"/>
        <v>2.5</v>
      </c>
      <c r="N26" s="539">
        <f t="shared" si="7"/>
        <v>2.5</v>
      </c>
      <c r="O26" s="539">
        <f t="shared" si="7"/>
        <v>2.5</v>
      </c>
      <c r="P26" s="539">
        <f t="shared" si="7"/>
        <v>2.5</v>
      </c>
      <c r="Q26" s="539">
        <f t="shared" si="7"/>
        <v>2.5</v>
      </c>
      <c r="R26" s="539">
        <f t="shared" si="7"/>
        <v>2.5</v>
      </c>
      <c r="S26" s="539">
        <f t="shared" si="7"/>
        <v>2.5</v>
      </c>
      <c r="T26" s="539">
        <f t="shared" si="7"/>
        <v>2.5</v>
      </c>
      <c r="U26" s="539">
        <f t="shared" si="7"/>
        <v>2.5</v>
      </c>
      <c r="V26" s="539">
        <f t="shared" si="7"/>
        <v>2.5</v>
      </c>
      <c r="W26" s="539">
        <f t="shared" si="7"/>
        <v>2.5</v>
      </c>
      <c r="X26" s="540">
        <f t="shared" si="7"/>
        <v>2.5</v>
      </c>
    </row>
    <row r="27" spans="1:24">
      <c r="A27" s="555">
        <v>-0.5</v>
      </c>
      <c r="C27" s="537" t="s">
        <v>764</v>
      </c>
      <c r="D27" s="539">
        <f t="shared" ref="D27:X27" si="8">D17+$A27</f>
        <v>8.5</v>
      </c>
      <c r="E27" s="539">
        <f t="shared" si="8"/>
        <v>2.1</v>
      </c>
      <c r="F27" s="539">
        <f t="shared" si="8"/>
        <v>1.7999999999999998</v>
      </c>
      <c r="G27" s="539">
        <f t="shared" si="8"/>
        <v>1.5</v>
      </c>
      <c r="H27" s="539">
        <f t="shared" si="8"/>
        <v>1.5</v>
      </c>
      <c r="I27" s="539">
        <f t="shared" si="8"/>
        <v>1.5</v>
      </c>
      <c r="J27" s="539">
        <f t="shared" si="8"/>
        <v>1.5</v>
      </c>
      <c r="K27" s="539">
        <f t="shared" si="8"/>
        <v>1.5</v>
      </c>
      <c r="L27" s="539">
        <f t="shared" si="8"/>
        <v>1.5</v>
      </c>
      <c r="M27" s="539">
        <f t="shared" si="8"/>
        <v>1.5</v>
      </c>
      <c r="N27" s="539">
        <f t="shared" si="8"/>
        <v>1.5</v>
      </c>
      <c r="O27" s="539">
        <f t="shared" si="8"/>
        <v>1.5</v>
      </c>
      <c r="P27" s="539">
        <f t="shared" si="8"/>
        <v>1.5</v>
      </c>
      <c r="Q27" s="539">
        <f t="shared" si="8"/>
        <v>1.5</v>
      </c>
      <c r="R27" s="539">
        <f t="shared" si="8"/>
        <v>1.5</v>
      </c>
      <c r="S27" s="539">
        <f t="shared" si="8"/>
        <v>1.5</v>
      </c>
      <c r="T27" s="539">
        <f t="shared" si="8"/>
        <v>1.5</v>
      </c>
      <c r="U27" s="539">
        <f t="shared" si="8"/>
        <v>1.5</v>
      </c>
      <c r="V27" s="539">
        <f t="shared" si="8"/>
        <v>1.5</v>
      </c>
      <c r="W27" s="539">
        <f t="shared" si="8"/>
        <v>1.5</v>
      </c>
      <c r="X27" s="540">
        <f t="shared" si="8"/>
        <v>1.5</v>
      </c>
    </row>
    <row r="28" spans="1:24">
      <c r="A28" s="555">
        <v>-0.5</v>
      </c>
      <c r="C28" s="537" t="s">
        <v>212</v>
      </c>
      <c r="D28" s="539">
        <f t="shared" ref="D28:X28" si="9">D18+$A28</f>
        <v>-0.2</v>
      </c>
      <c r="E28" s="539">
        <f t="shared" si="9"/>
        <v>2.1</v>
      </c>
      <c r="F28" s="539">
        <f t="shared" si="9"/>
        <v>1.7999999999999998</v>
      </c>
      <c r="G28" s="539">
        <f t="shared" si="9"/>
        <v>1.5</v>
      </c>
      <c r="H28" s="539">
        <f t="shared" si="9"/>
        <v>1.5</v>
      </c>
      <c r="I28" s="539">
        <f t="shared" si="9"/>
        <v>1.5</v>
      </c>
      <c r="J28" s="539">
        <f t="shared" si="9"/>
        <v>1.5</v>
      </c>
      <c r="K28" s="539">
        <f t="shared" si="9"/>
        <v>1.5</v>
      </c>
      <c r="L28" s="539">
        <f t="shared" si="9"/>
        <v>1.5</v>
      </c>
      <c r="M28" s="539">
        <f t="shared" si="9"/>
        <v>1.5</v>
      </c>
      <c r="N28" s="539">
        <f t="shared" si="9"/>
        <v>1.5</v>
      </c>
      <c r="O28" s="539">
        <f t="shared" si="9"/>
        <v>1.5</v>
      </c>
      <c r="P28" s="539">
        <f t="shared" si="9"/>
        <v>1.5</v>
      </c>
      <c r="Q28" s="539">
        <f t="shared" si="9"/>
        <v>1.5</v>
      </c>
      <c r="R28" s="539">
        <f t="shared" si="9"/>
        <v>1.5</v>
      </c>
      <c r="S28" s="539">
        <f t="shared" si="9"/>
        <v>1.5</v>
      </c>
      <c r="T28" s="539">
        <f t="shared" si="9"/>
        <v>1.5</v>
      </c>
      <c r="U28" s="539">
        <f t="shared" si="9"/>
        <v>1.5</v>
      </c>
      <c r="V28" s="539">
        <f t="shared" si="9"/>
        <v>1.5</v>
      </c>
      <c r="W28" s="539">
        <f t="shared" si="9"/>
        <v>1.5</v>
      </c>
      <c r="X28" s="540">
        <f t="shared" si="9"/>
        <v>1.5</v>
      </c>
    </row>
    <row r="29" spans="1:24">
      <c r="A29" s="555">
        <v>-0.5</v>
      </c>
      <c r="C29" s="537" t="s">
        <v>2</v>
      </c>
      <c r="D29" s="539">
        <f t="shared" ref="D29:X29" si="10">D19+$A29</f>
        <v>4.0999999999999996</v>
      </c>
      <c r="E29" s="539">
        <f t="shared" si="10"/>
        <v>2.6</v>
      </c>
      <c r="F29" s="539">
        <f t="shared" si="10"/>
        <v>2.2999999999999998</v>
      </c>
      <c r="G29" s="539">
        <f t="shared" si="10"/>
        <v>2</v>
      </c>
      <c r="H29" s="539">
        <f t="shared" si="10"/>
        <v>1.5</v>
      </c>
      <c r="I29" s="539">
        <f t="shared" si="10"/>
        <v>1.5</v>
      </c>
      <c r="J29" s="539">
        <f t="shared" si="10"/>
        <v>1.5</v>
      </c>
      <c r="K29" s="539">
        <f t="shared" si="10"/>
        <v>1.5</v>
      </c>
      <c r="L29" s="539">
        <f t="shared" si="10"/>
        <v>1.5</v>
      </c>
      <c r="M29" s="539">
        <f t="shared" si="10"/>
        <v>1.5</v>
      </c>
      <c r="N29" s="539">
        <f t="shared" si="10"/>
        <v>1.5</v>
      </c>
      <c r="O29" s="539">
        <f t="shared" si="10"/>
        <v>1.5</v>
      </c>
      <c r="P29" s="539">
        <f t="shared" si="10"/>
        <v>1.5</v>
      </c>
      <c r="Q29" s="539">
        <f t="shared" si="10"/>
        <v>1.5</v>
      </c>
      <c r="R29" s="539">
        <f t="shared" si="10"/>
        <v>1.5</v>
      </c>
      <c r="S29" s="539">
        <f t="shared" si="10"/>
        <v>1.5</v>
      </c>
      <c r="T29" s="539">
        <f t="shared" si="10"/>
        <v>1.5</v>
      </c>
      <c r="U29" s="539">
        <f t="shared" si="10"/>
        <v>1.5</v>
      </c>
      <c r="V29" s="539">
        <f t="shared" si="10"/>
        <v>1.5</v>
      </c>
      <c r="W29" s="539">
        <f t="shared" si="10"/>
        <v>1.5</v>
      </c>
      <c r="X29" s="540">
        <f t="shared" si="10"/>
        <v>1.5</v>
      </c>
    </row>
    <row r="30" spans="1:24" ht="15.75" thickBot="1">
      <c r="A30" s="555">
        <v>-0.75</v>
      </c>
      <c r="C30" s="546" t="s">
        <v>690</v>
      </c>
      <c r="D30" s="542">
        <f>D20+$A30</f>
        <v>3.3723832528180404</v>
      </c>
      <c r="E30" s="542">
        <f t="shared" ref="E30:X30" si="11">E20+$A30</f>
        <v>-8.6786524383957122</v>
      </c>
      <c r="F30" s="542">
        <f t="shared" si="11"/>
        <v>-5.8787793952967569</v>
      </c>
      <c r="G30" s="542">
        <f t="shared" si="11"/>
        <v>1.2330028328611915</v>
      </c>
      <c r="H30" s="542">
        <f t="shared" si="11"/>
        <v>1.7152777777777857</v>
      </c>
      <c r="I30" s="542">
        <f t="shared" si="11"/>
        <v>0.8878628713430432</v>
      </c>
      <c r="J30" s="542">
        <f t="shared" si="11"/>
        <v>1.25</v>
      </c>
      <c r="K30" s="542">
        <f t="shared" si="11"/>
        <v>1.25</v>
      </c>
      <c r="L30" s="542">
        <f t="shared" si="11"/>
        <v>1.25</v>
      </c>
      <c r="M30" s="542">
        <f t="shared" si="11"/>
        <v>1.25</v>
      </c>
      <c r="N30" s="542">
        <f t="shared" si="11"/>
        <v>1.25</v>
      </c>
      <c r="O30" s="542">
        <f t="shared" si="11"/>
        <v>1.25</v>
      </c>
      <c r="P30" s="542">
        <f t="shared" si="11"/>
        <v>1.25</v>
      </c>
      <c r="Q30" s="542">
        <f t="shared" si="11"/>
        <v>1.25</v>
      </c>
      <c r="R30" s="542">
        <f t="shared" si="11"/>
        <v>1.25</v>
      </c>
      <c r="S30" s="542">
        <f t="shared" si="11"/>
        <v>1.25</v>
      </c>
      <c r="T30" s="542">
        <f t="shared" si="11"/>
        <v>1.25</v>
      </c>
      <c r="U30" s="542">
        <f t="shared" si="11"/>
        <v>1.25</v>
      </c>
      <c r="V30" s="542">
        <f t="shared" si="11"/>
        <v>1.25</v>
      </c>
      <c r="W30" s="542">
        <f t="shared" si="11"/>
        <v>1.25</v>
      </c>
      <c r="X30" s="543">
        <f t="shared" si="11"/>
        <v>1.25</v>
      </c>
    </row>
    <row r="34" spans="1:24" ht="15.75" thickBot="1">
      <c r="A34" t="s">
        <v>795</v>
      </c>
      <c r="C34" t="s">
        <v>784</v>
      </c>
    </row>
    <row r="35" spans="1:24">
      <c r="A35" s="554"/>
      <c r="C35" s="533" t="s">
        <v>122</v>
      </c>
      <c r="D35" s="534">
        <v>2023</v>
      </c>
      <c r="E35" s="534">
        <v>2024</v>
      </c>
      <c r="F35" s="534">
        <v>2025</v>
      </c>
      <c r="G35" s="534">
        <v>2026</v>
      </c>
      <c r="H35" s="534">
        <v>2027</v>
      </c>
      <c r="I35" s="534">
        <v>2028</v>
      </c>
      <c r="J35" s="534">
        <v>2029</v>
      </c>
      <c r="K35" s="534">
        <v>2030</v>
      </c>
      <c r="L35" s="534">
        <v>2031</v>
      </c>
      <c r="M35" s="534">
        <v>2032</v>
      </c>
      <c r="N35" s="534">
        <v>2033</v>
      </c>
      <c r="O35" s="534">
        <v>2034</v>
      </c>
      <c r="P35" s="534">
        <v>2035</v>
      </c>
      <c r="Q35" s="534">
        <v>2036</v>
      </c>
      <c r="R35" s="534">
        <v>2037</v>
      </c>
      <c r="S35" s="534">
        <v>2038</v>
      </c>
      <c r="T35" s="534">
        <v>2039</v>
      </c>
      <c r="U35" s="534">
        <v>2040</v>
      </c>
      <c r="V35" s="534">
        <v>2041</v>
      </c>
      <c r="W35" s="534">
        <v>2042</v>
      </c>
      <c r="X35" s="534">
        <v>2043</v>
      </c>
    </row>
    <row r="36" spans="1:24">
      <c r="A36" s="555">
        <v>-0.5</v>
      </c>
      <c r="C36" s="537" t="s">
        <v>688</v>
      </c>
      <c r="D36" s="539">
        <f t="shared" ref="D36:X36" si="12">D16+$A36</f>
        <v>4.0999999999999996</v>
      </c>
      <c r="E36" s="539">
        <f t="shared" si="12"/>
        <v>2.6</v>
      </c>
      <c r="F36" s="539">
        <f t="shared" si="12"/>
        <v>2.2999999999999998</v>
      </c>
      <c r="G36" s="539">
        <f t="shared" si="12"/>
        <v>2</v>
      </c>
      <c r="H36" s="539">
        <f t="shared" si="12"/>
        <v>1.5</v>
      </c>
      <c r="I36" s="539">
        <f t="shared" si="12"/>
        <v>1.5</v>
      </c>
      <c r="J36" s="539">
        <f t="shared" si="12"/>
        <v>1.5</v>
      </c>
      <c r="K36" s="539">
        <f t="shared" si="12"/>
        <v>1.5</v>
      </c>
      <c r="L36" s="539">
        <f t="shared" si="12"/>
        <v>1.5</v>
      </c>
      <c r="M36" s="539">
        <f t="shared" si="12"/>
        <v>1.5</v>
      </c>
      <c r="N36" s="539">
        <f t="shared" si="12"/>
        <v>1.5</v>
      </c>
      <c r="O36" s="539">
        <f t="shared" si="12"/>
        <v>1.5</v>
      </c>
      <c r="P36" s="539">
        <f t="shared" si="12"/>
        <v>1.5</v>
      </c>
      <c r="Q36" s="539">
        <f t="shared" si="12"/>
        <v>1.5</v>
      </c>
      <c r="R36" s="539">
        <f t="shared" si="12"/>
        <v>1.5</v>
      </c>
      <c r="S36" s="539">
        <f t="shared" si="12"/>
        <v>1.5</v>
      </c>
      <c r="T36" s="539">
        <f t="shared" si="12"/>
        <v>1.5</v>
      </c>
      <c r="U36" s="539">
        <f t="shared" si="12"/>
        <v>1.5</v>
      </c>
      <c r="V36" s="539">
        <f t="shared" si="12"/>
        <v>1.5</v>
      </c>
      <c r="W36" s="539">
        <f t="shared" si="12"/>
        <v>1.5</v>
      </c>
      <c r="X36" s="540">
        <f t="shared" si="12"/>
        <v>1.5</v>
      </c>
    </row>
    <row r="37" spans="1:24">
      <c r="A37" s="555">
        <v>0.5</v>
      </c>
      <c r="C37" s="537" t="s">
        <v>764</v>
      </c>
      <c r="D37" s="539">
        <f t="shared" ref="D37:X37" si="13">D17+$A37</f>
        <v>9.5</v>
      </c>
      <c r="E37" s="539">
        <f t="shared" si="13"/>
        <v>3.1</v>
      </c>
      <c r="F37" s="539">
        <f t="shared" si="13"/>
        <v>2.8</v>
      </c>
      <c r="G37" s="539">
        <f t="shared" si="13"/>
        <v>2.5</v>
      </c>
      <c r="H37" s="539">
        <f t="shared" si="13"/>
        <v>2.5</v>
      </c>
      <c r="I37" s="539">
        <f t="shared" si="13"/>
        <v>2.5</v>
      </c>
      <c r="J37" s="539">
        <f t="shared" si="13"/>
        <v>2.5</v>
      </c>
      <c r="K37" s="539">
        <f t="shared" si="13"/>
        <v>2.5</v>
      </c>
      <c r="L37" s="539">
        <f t="shared" si="13"/>
        <v>2.5</v>
      </c>
      <c r="M37" s="539">
        <f t="shared" si="13"/>
        <v>2.5</v>
      </c>
      <c r="N37" s="539">
        <f t="shared" si="13"/>
        <v>2.5</v>
      </c>
      <c r="O37" s="539">
        <f t="shared" si="13"/>
        <v>2.5</v>
      </c>
      <c r="P37" s="539">
        <f t="shared" si="13"/>
        <v>2.5</v>
      </c>
      <c r="Q37" s="539">
        <f t="shared" si="13"/>
        <v>2.5</v>
      </c>
      <c r="R37" s="539">
        <f t="shared" si="13"/>
        <v>2.5</v>
      </c>
      <c r="S37" s="539">
        <f t="shared" si="13"/>
        <v>2.5</v>
      </c>
      <c r="T37" s="539">
        <f t="shared" si="13"/>
        <v>2.5</v>
      </c>
      <c r="U37" s="539">
        <f t="shared" si="13"/>
        <v>2.5</v>
      </c>
      <c r="V37" s="539">
        <f t="shared" si="13"/>
        <v>2.5</v>
      </c>
      <c r="W37" s="539">
        <f t="shared" si="13"/>
        <v>2.5</v>
      </c>
      <c r="X37" s="540">
        <f t="shared" si="13"/>
        <v>2.5</v>
      </c>
    </row>
    <row r="38" spans="1:24">
      <c r="A38" s="555">
        <v>0.5</v>
      </c>
      <c r="C38" s="537" t="s">
        <v>212</v>
      </c>
      <c r="D38" s="539">
        <f t="shared" ref="D38:X38" si="14">D18+$A38</f>
        <v>0.8</v>
      </c>
      <c r="E38" s="539">
        <f t="shared" si="14"/>
        <v>3.1</v>
      </c>
      <c r="F38" s="539">
        <f t="shared" si="14"/>
        <v>2.8</v>
      </c>
      <c r="G38" s="539">
        <f t="shared" si="14"/>
        <v>2.5</v>
      </c>
      <c r="H38" s="539">
        <f t="shared" si="14"/>
        <v>2.5</v>
      </c>
      <c r="I38" s="539">
        <f t="shared" si="14"/>
        <v>2.5</v>
      </c>
      <c r="J38" s="539">
        <f t="shared" si="14"/>
        <v>2.5</v>
      </c>
      <c r="K38" s="539">
        <f t="shared" si="14"/>
        <v>2.5</v>
      </c>
      <c r="L38" s="539">
        <f t="shared" si="14"/>
        <v>2.5</v>
      </c>
      <c r="M38" s="539">
        <f t="shared" si="14"/>
        <v>2.5</v>
      </c>
      <c r="N38" s="539">
        <f t="shared" si="14"/>
        <v>2.5</v>
      </c>
      <c r="O38" s="539">
        <f t="shared" si="14"/>
        <v>2.5</v>
      </c>
      <c r="P38" s="539">
        <f t="shared" si="14"/>
        <v>2.5</v>
      </c>
      <c r="Q38" s="539">
        <f t="shared" si="14"/>
        <v>2.5</v>
      </c>
      <c r="R38" s="539">
        <f t="shared" si="14"/>
        <v>2.5</v>
      </c>
      <c r="S38" s="539">
        <f t="shared" si="14"/>
        <v>2.5</v>
      </c>
      <c r="T38" s="539">
        <f t="shared" si="14"/>
        <v>2.5</v>
      </c>
      <c r="U38" s="539">
        <f t="shared" si="14"/>
        <v>2.5</v>
      </c>
      <c r="V38" s="539">
        <f t="shared" si="14"/>
        <v>2.5</v>
      </c>
      <c r="W38" s="539">
        <f t="shared" si="14"/>
        <v>2.5</v>
      </c>
      <c r="X38" s="540">
        <f t="shared" si="14"/>
        <v>2.5</v>
      </c>
    </row>
    <row r="39" spans="1:24">
      <c r="A39" s="555">
        <v>0.5</v>
      </c>
      <c r="C39" s="537" t="s">
        <v>2</v>
      </c>
      <c r="D39" s="539">
        <f t="shared" ref="D39:X39" si="15">D19+$A39</f>
        <v>5.0999999999999996</v>
      </c>
      <c r="E39" s="539">
        <f t="shared" si="15"/>
        <v>3.6</v>
      </c>
      <c r="F39" s="539">
        <f t="shared" si="15"/>
        <v>3.3</v>
      </c>
      <c r="G39" s="539">
        <f t="shared" si="15"/>
        <v>3</v>
      </c>
      <c r="H39" s="539">
        <f t="shared" si="15"/>
        <v>2.5</v>
      </c>
      <c r="I39" s="539">
        <f t="shared" si="15"/>
        <v>2.5</v>
      </c>
      <c r="J39" s="539">
        <f t="shared" si="15"/>
        <v>2.5</v>
      </c>
      <c r="K39" s="539">
        <f t="shared" si="15"/>
        <v>2.5</v>
      </c>
      <c r="L39" s="539">
        <f t="shared" si="15"/>
        <v>2.5</v>
      </c>
      <c r="M39" s="539">
        <f t="shared" si="15"/>
        <v>2.5</v>
      </c>
      <c r="N39" s="539">
        <f t="shared" si="15"/>
        <v>2.5</v>
      </c>
      <c r="O39" s="539">
        <f t="shared" si="15"/>
        <v>2.5</v>
      </c>
      <c r="P39" s="539">
        <f t="shared" si="15"/>
        <v>2.5</v>
      </c>
      <c r="Q39" s="539">
        <f t="shared" si="15"/>
        <v>2.5</v>
      </c>
      <c r="R39" s="539">
        <f t="shared" si="15"/>
        <v>2.5</v>
      </c>
      <c r="S39" s="539">
        <f t="shared" si="15"/>
        <v>2.5</v>
      </c>
      <c r="T39" s="539">
        <f t="shared" si="15"/>
        <v>2.5</v>
      </c>
      <c r="U39" s="539">
        <f t="shared" si="15"/>
        <v>2.5</v>
      </c>
      <c r="V39" s="539">
        <f t="shared" si="15"/>
        <v>2.5</v>
      </c>
      <c r="W39" s="539">
        <f t="shared" si="15"/>
        <v>2.5</v>
      </c>
      <c r="X39" s="540">
        <f t="shared" si="15"/>
        <v>2.5</v>
      </c>
    </row>
    <row r="40" spans="1:24" ht="15.75" thickBot="1">
      <c r="A40" s="555">
        <v>0.75</v>
      </c>
      <c r="C40" s="546" t="s">
        <v>690</v>
      </c>
      <c r="D40" s="542">
        <f>D20+$A40</f>
        <v>4.8723832528180404</v>
      </c>
      <c r="E40" s="542">
        <f t="shared" ref="E40:X40" si="16">E20+$A40</f>
        <v>-7.1786524383957113</v>
      </c>
      <c r="F40" s="542">
        <f t="shared" si="16"/>
        <v>-4.3787793952967569</v>
      </c>
      <c r="G40" s="542">
        <f t="shared" si="16"/>
        <v>2.7330028328611915</v>
      </c>
      <c r="H40" s="542">
        <f t="shared" si="16"/>
        <v>3.2152777777777857</v>
      </c>
      <c r="I40" s="542">
        <f t="shared" si="16"/>
        <v>2.3878628713430432</v>
      </c>
      <c r="J40" s="542">
        <f t="shared" si="16"/>
        <v>2.75</v>
      </c>
      <c r="K40" s="542">
        <f t="shared" si="16"/>
        <v>2.75</v>
      </c>
      <c r="L40" s="542">
        <f t="shared" si="16"/>
        <v>2.75</v>
      </c>
      <c r="M40" s="542">
        <f t="shared" si="16"/>
        <v>2.75</v>
      </c>
      <c r="N40" s="542">
        <f t="shared" si="16"/>
        <v>2.75</v>
      </c>
      <c r="O40" s="542">
        <f t="shared" si="16"/>
        <v>2.75</v>
      </c>
      <c r="P40" s="542">
        <f t="shared" si="16"/>
        <v>2.75</v>
      </c>
      <c r="Q40" s="542">
        <f t="shared" si="16"/>
        <v>2.75</v>
      </c>
      <c r="R40" s="542">
        <f t="shared" si="16"/>
        <v>2.75</v>
      </c>
      <c r="S40" s="542">
        <f t="shared" si="16"/>
        <v>2.75</v>
      </c>
      <c r="T40" s="542">
        <f t="shared" si="16"/>
        <v>2.75</v>
      </c>
      <c r="U40" s="542">
        <f t="shared" si="16"/>
        <v>2.75</v>
      </c>
      <c r="V40" s="542">
        <f t="shared" si="16"/>
        <v>2.75</v>
      </c>
      <c r="W40" s="542">
        <f t="shared" si="16"/>
        <v>2.75</v>
      </c>
      <c r="X40" s="543">
        <f t="shared" si="16"/>
        <v>2.75</v>
      </c>
    </row>
    <row r="46" spans="1:24" ht="15.75" thickBot="1">
      <c r="C46" t="s">
        <v>788</v>
      </c>
      <c r="D46" t="str">
        <f>'Dynamic Tracking Chart'!F40</f>
        <v>Most Likely Case</v>
      </c>
    </row>
    <row r="47" spans="1:24">
      <c r="C47" s="533" t="str">
        <f>IF($D$46="Most Likely Case",C14,IF($D$46="Best Case",C25,C35))</f>
        <v>Year</v>
      </c>
      <c r="D47" s="534">
        <f>IF($D$46="Most Likely Case",D14,IF($D$46="Best Case",D25,D35))</f>
        <v>2023</v>
      </c>
      <c r="E47" s="534">
        <f t="shared" ref="E47:X47" si="17">IF($D$46="Most Likely Case",E14,IF($D$46="Best Case",E25,E35))</f>
        <v>2024</v>
      </c>
      <c r="F47" s="534">
        <f t="shared" si="17"/>
        <v>2025</v>
      </c>
      <c r="G47" s="534">
        <f t="shared" si="17"/>
        <v>2026</v>
      </c>
      <c r="H47" s="534">
        <f t="shared" si="17"/>
        <v>2027</v>
      </c>
      <c r="I47" s="534">
        <f t="shared" si="17"/>
        <v>2028</v>
      </c>
      <c r="J47" s="534">
        <f t="shared" si="17"/>
        <v>2029</v>
      </c>
      <c r="K47" s="534">
        <f t="shared" si="17"/>
        <v>2030</v>
      </c>
      <c r="L47" s="534">
        <f t="shared" si="17"/>
        <v>2031</v>
      </c>
      <c r="M47" s="534">
        <f t="shared" si="17"/>
        <v>2032</v>
      </c>
      <c r="N47" s="535">
        <f t="shared" si="17"/>
        <v>2033</v>
      </c>
      <c r="O47" s="534">
        <f t="shared" si="17"/>
        <v>2034</v>
      </c>
      <c r="P47" s="535">
        <f t="shared" si="17"/>
        <v>2035</v>
      </c>
      <c r="Q47" s="534">
        <f t="shared" si="17"/>
        <v>2036</v>
      </c>
      <c r="R47" s="535">
        <f t="shared" si="17"/>
        <v>2037</v>
      </c>
      <c r="S47" s="534">
        <f t="shared" si="17"/>
        <v>2038</v>
      </c>
      <c r="T47" s="535">
        <f t="shared" si="17"/>
        <v>2039</v>
      </c>
      <c r="U47" s="534">
        <f t="shared" si="17"/>
        <v>2040</v>
      </c>
      <c r="V47" s="535">
        <f t="shared" si="17"/>
        <v>2041</v>
      </c>
      <c r="W47" s="534">
        <f t="shared" si="17"/>
        <v>2042</v>
      </c>
      <c r="X47" s="536">
        <f t="shared" si="17"/>
        <v>2043</v>
      </c>
    </row>
    <row r="48" spans="1:24">
      <c r="C48" s="537" t="str">
        <f>IF($D$46="Most Likely Case",C16,IF($D$46="Best Case",C26,C36))</f>
        <v>Rental Price</v>
      </c>
      <c r="D48" s="547">
        <f>IF($D$46="Most Likely Case",D16,IF($D$46="Best Case",D26,D36))/100</f>
        <v>4.5999999999999999E-2</v>
      </c>
      <c r="E48" s="547">
        <f t="shared" ref="E48:X48" si="18">IF($D$46="Most Likely Case",E16,IF($D$46="Best Case",E26,E36))/100</f>
        <v>3.1E-2</v>
      </c>
      <c r="F48" s="547">
        <f t="shared" si="18"/>
        <v>2.7999999999999997E-2</v>
      </c>
      <c r="G48" s="547">
        <f t="shared" si="18"/>
        <v>2.5000000000000001E-2</v>
      </c>
      <c r="H48" s="547">
        <f t="shared" si="18"/>
        <v>0.02</v>
      </c>
      <c r="I48" s="547">
        <f t="shared" si="18"/>
        <v>0.02</v>
      </c>
      <c r="J48" s="547">
        <f t="shared" si="18"/>
        <v>0.02</v>
      </c>
      <c r="K48" s="547">
        <f t="shared" si="18"/>
        <v>0.02</v>
      </c>
      <c r="L48" s="547">
        <f t="shared" si="18"/>
        <v>0.02</v>
      </c>
      <c r="M48" s="547">
        <f t="shared" si="18"/>
        <v>0.02</v>
      </c>
      <c r="N48" s="547">
        <f t="shared" si="18"/>
        <v>0.02</v>
      </c>
      <c r="O48" s="547">
        <f t="shared" si="18"/>
        <v>0.02</v>
      </c>
      <c r="P48" s="547">
        <f t="shared" si="18"/>
        <v>0.02</v>
      </c>
      <c r="Q48" s="547">
        <f t="shared" si="18"/>
        <v>0.02</v>
      </c>
      <c r="R48" s="547">
        <f t="shared" si="18"/>
        <v>0.02</v>
      </c>
      <c r="S48" s="547">
        <f t="shared" si="18"/>
        <v>0.02</v>
      </c>
      <c r="T48" s="547">
        <f t="shared" si="18"/>
        <v>0.02</v>
      </c>
      <c r="U48" s="547">
        <f t="shared" si="18"/>
        <v>0.02</v>
      </c>
      <c r="V48" s="547">
        <f t="shared" si="18"/>
        <v>0.02</v>
      </c>
      <c r="W48" s="547">
        <f t="shared" si="18"/>
        <v>0.02</v>
      </c>
      <c r="X48" s="548">
        <f t="shared" si="18"/>
        <v>0.02</v>
      </c>
    </row>
    <row r="49" spans="3:24">
      <c r="C49" s="537" t="str">
        <f t="shared" ref="C49:C52" si="19">IF($D$46="Most Likely Case",C17,IF($D$46="Best Case",C27,C37))</f>
        <v>Freight</v>
      </c>
      <c r="D49" s="547">
        <f t="shared" ref="D49:X49" si="20">IF($D$46="Most Likely Case",D17,IF($D$46="Best Case",D27,D37))/100</f>
        <v>0.09</v>
      </c>
      <c r="E49" s="547">
        <f t="shared" si="20"/>
        <v>2.6000000000000002E-2</v>
      </c>
      <c r="F49" s="547">
        <f t="shared" si="20"/>
        <v>2.3E-2</v>
      </c>
      <c r="G49" s="547">
        <f t="shared" si="20"/>
        <v>0.02</v>
      </c>
      <c r="H49" s="547">
        <f t="shared" si="20"/>
        <v>0.02</v>
      </c>
      <c r="I49" s="547">
        <f t="shared" si="20"/>
        <v>0.02</v>
      </c>
      <c r="J49" s="547">
        <f t="shared" si="20"/>
        <v>0.02</v>
      </c>
      <c r="K49" s="547">
        <f t="shared" si="20"/>
        <v>0.02</v>
      </c>
      <c r="L49" s="547">
        <f t="shared" si="20"/>
        <v>0.02</v>
      </c>
      <c r="M49" s="547">
        <f t="shared" si="20"/>
        <v>0.02</v>
      </c>
      <c r="N49" s="547">
        <f t="shared" si="20"/>
        <v>0.02</v>
      </c>
      <c r="O49" s="547">
        <f t="shared" si="20"/>
        <v>0.02</v>
      </c>
      <c r="P49" s="547">
        <f t="shared" si="20"/>
        <v>0.02</v>
      </c>
      <c r="Q49" s="547">
        <f t="shared" si="20"/>
        <v>0.02</v>
      </c>
      <c r="R49" s="547">
        <f t="shared" si="20"/>
        <v>0.02</v>
      </c>
      <c r="S49" s="547">
        <f t="shared" si="20"/>
        <v>0.02</v>
      </c>
      <c r="T49" s="547">
        <f t="shared" si="20"/>
        <v>0.02</v>
      </c>
      <c r="U49" s="547">
        <f t="shared" si="20"/>
        <v>0.02</v>
      </c>
      <c r="V49" s="547">
        <f t="shared" si="20"/>
        <v>0.02</v>
      </c>
      <c r="W49" s="547">
        <f t="shared" si="20"/>
        <v>0.02</v>
      </c>
      <c r="X49" s="548">
        <f t="shared" si="20"/>
        <v>0.02</v>
      </c>
    </row>
    <row r="50" spans="3:24">
      <c r="C50" s="537" t="str">
        <f t="shared" si="19"/>
        <v>Labor</v>
      </c>
      <c r="D50" s="547">
        <f t="shared" ref="D50:X50" si="21">IF($D$46="Most Likely Case",D18,IF($D$46="Best Case",D28,D38))/100</f>
        <v>3.0000000000000001E-3</v>
      </c>
      <c r="E50" s="547">
        <f t="shared" si="21"/>
        <v>2.6000000000000002E-2</v>
      </c>
      <c r="F50" s="547">
        <f t="shared" si="21"/>
        <v>2.3E-2</v>
      </c>
      <c r="G50" s="547">
        <f t="shared" si="21"/>
        <v>0.02</v>
      </c>
      <c r="H50" s="547">
        <f t="shared" si="21"/>
        <v>0.02</v>
      </c>
      <c r="I50" s="547">
        <f t="shared" si="21"/>
        <v>0.02</v>
      </c>
      <c r="J50" s="547">
        <f t="shared" si="21"/>
        <v>0.02</v>
      </c>
      <c r="K50" s="547">
        <f t="shared" si="21"/>
        <v>0.02</v>
      </c>
      <c r="L50" s="547">
        <f t="shared" si="21"/>
        <v>0.02</v>
      </c>
      <c r="M50" s="547">
        <f t="shared" si="21"/>
        <v>0.02</v>
      </c>
      <c r="N50" s="547">
        <f t="shared" si="21"/>
        <v>0.02</v>
      </c>
      <c r="O50" s="547">
        <f t="shared" si="21"/>
        <v>0.02</v>
      </c>
      <c r="P50" s="547">
        <f t="shared" si="21"/>
        <v>0.02</v>
      </c>
      <c r="Q50" s="547">
        <f t="shared" si="21"/>
        <v>0.02</v>
      </c>
      <c r="R50" s="547">
        <f t="shared" si="21"/>
        <v>0.02</v>
      </c>
      <c r="S50" s="547">
        <f t="shared" si="21"/>
        <v>0.02</v>
      </c>
      <c r="T50" s="547">
        <f t="shared" si="21"/>
        <v>0.02</v>
      </c>
      <c r="U50" s="547">
        <f t="shared" si="21"/>
        <v>0.02</v>
      </c>
      <c r="V50" s="547">
        <f t="shared" si="21"/>
        <v>0.02</v>
      </c>
      <c r="W50" s="547">
        <f t="shared" si="21"/>
        <v>0.02</v>
      </c>
      <c r="X50" s="548">
        <f t="shared" si="21"/>
        <v>0.02</v>
      </c>
    </row>
    <row r="51" spans="3:24">
      <c r="C51" s="537" t="str">
        <f t="shared" si="19"/>
        <v>Storage</v>
      </c>
      <c r="D51" s="547">
        <f t="shared" ref="D51:X51" si="22">IF($D$46="Most Likely Case",D19,IF($D$46="Best Case",D29,D39))/100</f>
        <v>4.5999999999999999E-2</v>
      </c>
      <c r="E51" s="547">
        <f t="shared" si="22"/>
        <v>3.1E-2</v>
      </c>
      <c r="F51" s="547">
        <f t="shared" si="22"/>
        <v>2.7999999999999997E-2</v>
      </c>
      <c r="G51" s="547">
        <f t="shared" si="22"/>
        <v>2.5000000000000001E-2</v>
      </c>
      <c r="H51" s="547">
        <f t="shared" si="22"/>
        <v>0.02</v>
      </c>
      <c r="I51" s="547">
        <f t="shared" si="22"/>
        <v>0.02</v>
      </c>
      <c r="J51" s="547">
        <f t="shared" si="22"/>
        <v>0.02</v>
      </c>
      <c r="K51" s="547">
        <f t="shared" si="22"/>
        <v>0.02</v>
      </c>
      <c r="L51" s="547">
        <f t="shared" si="22"/>
        <v>0.02</v>
      </c>
      <c r="M51" s="547">
        <f t="shared" si="22"/>
        <v>0.02</v>
      </c>
      <c r="N51" s="547">
        <f t="shared" si="22"/>
        <v>0.02</v>
      </c>
      <c r="O51" s="547">
        <f t="shared" si="22"/>
        <v>0.02</v>
      </c>
      <c r="P51" s="547">
        <f t="shared" si="22"/>
        <v>0.02</v>
      </c>
      <c r="Q51" s="547">
        <f t="shared" si="22"/>
        <v>0.02</v>
      </c>
      <c r="R51" s="547">
        <f t="shared" si="22"/>
        <v>0.02</v>
      </c>
      <c r="S51" s="547">
        <f t="shared" si="22"/>
        <v>0.02</v>
      </c>
      <c r="T51" s="547">
        <f t="shared" si="22"/>
        <v>0.02</v>
      </c>
      <c r="U51" s="547">
        <f t="shared" si="22"/>
        <v>0.02</v>
      </c>
      <c r="V51" s="547">
        <f t="shared" si="22"/>
        <v>0.02</v>
      </c>
      <c r="W51" s="547">
        <f t="shared" si="22"/>
        <v>0.02</v>
      </c>
      <c r="X51" s="548">
        <f t="shared" si="22"/>
        <v>0.02</v>
      </c>
    </row>
    <row r="52" spans="3:24" ht="15.75" thickBot="1">
      <c r="C52" s="537" t="str">
        <f t="shared" si="19"/>
        <v>Copper</v>
      </c>
      <c r="D52" s="549">
        <f t="shared" ref="D52:X52" si="23">IF($D$46="Most Likely Case",D20,IF($D$46="Best Case",D30,D40))/100</f>
        <v>4.1223832528180404E-2</v>
      </c>
      <c r="E52" s="549">
        <f t="shared" si="23"/>
        <v>-7.9286524383957113E-2</v>
      </c>
      <c r="F52" s="549">
        <f t="shared" si="23"/>
        <v>-5.1287793952967571E-2</v>
      </c>
      <c r="G52" s="549">
        <f t="shared" si="23"/>
        <v>1.9830028328611915E-2</v>
      </c>
      <c r="H52" s="549">
        <f t="shared" si="23"/>
        <v>2.4652777777777857E-2</v>
      </c>
      <c r="I52" s="549">
        <f t="shared" si="23"/>
        <v>1.6378628713430432E-2</v>
      </c>
      <c r="J52" s="549">
        <f t="shared" si="23"/>
        <v>0.02</v>
      </c>
      <c r="K52" s="549">
        <f t="shared" si="23"/>
        <v>0.02</v>
      </c>
      <c r="L52" s="549">
        <f t="shared" si="23"/>
        <v>0.02</v>
      </c>
      <c r="M52" s="549">
        <f t="shared" si="23"/>
        <v>0.02</v>
      </c>
      <c r="N52" s="549">
        <f t="shared" si="23"/>
        <v>0.02</v>
      </c>
      <c r="O52" s="549">
        <f t="shared" si="23"/>
        <v>0.02</v>
      </c>
      <c r="P52" s="549">
        <f t="shared" si="23"/>
        <v>0.02</v>
      </c>
      <c r="Q52" s="549">
        <f t="shared" si="23"/>
        <v>0.02</v>
      </c>
      <c r="R52" s="549">
        <f t="shared" si="23"/>
        <v>0.02</v>
      </c>
      <c r="S52" s="549">
        <f t="shared" si="23"/>
        <v>0.02</v>
      </c>
      <c r="T52" s="549">
        <f t="shared" si="23"/>
        <v>0.02</v>
      </c>
      <c r="U52" s="549">
        <f t="shared" si="23"/>
        <v>0.02</v>
      </c>
      <c r="V52" s="549">
        <f t="shared" si="23"/>
        <v>0.02</v>
      </c>
      <c r="W52" s="549">
        <f t="shared" si="23"/>
        <v>0.02</v>
      </c>
      <c r="X52" s="550">
        <f t="shared" si="23"/>
        <v>0.02</v>
      </c>
    </row>
  </sheetData>
  <hyperlinks>
    <hyperlink ref="E5" r:id="rId1" xr:uid="{A09A09CC-217E-483A-AE5E-54BAFE4C874F}"/>
    <hyperlink ref="E6" r:id="rId2" xr:uid="{99C3A572-DA2B-4DB9-BDE4-4295AD66CB21}"/>
    <hyperlink ref="E7" r:id="rId3" xr:uid="{77E7DC04-5EA9-4A8A-988C-CF7F0515BA12}"/>
    <hyperlink ref="E8" r:id="rId4" xr:uid="{962F0621-E2AE-43A4-B49D-A9DC2C45D30A}"/>
  </hyperlinks>
  <pageMargins left="0.7" right="0.7" top="0.75" bottom="0.75" header="0.3" footer="0.3"/>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28B-E45C-4D7E-B12A-BA2ABB840EED}">
  <sheetPr codeName="Sheet4"/>
  <dimension ref="A1:D70"/>
  <sheetViews>
    <sheetView topLeftCell="A10" zoomScale="90" zoomScaleNormal="90" workbookViewId="0">
      <selection activeCell="B39" sqref="B39"/>
    </sheetView>
  </sheetViews>
  <sheetFormatPr defaultColWidth="11.42578125" defaultRowHeight="12"/>
  <cols>
    <col min="1" max="1" width="44.28515625" style="12" bestFit="1" customWidth="1"/>
    <col min="2" max="2" width="14.85546875" style="12" bestFit="1" customWidth="1"/>
    <col min="3" max="3" width="22.140625" style="12" bestFit="1" customWidth="1"/>
    <col min="4" max="4" width="10.140625" style="12" customWidth="1"/>
    <col min="5" max="16384" width="11.42578125" style="12"/>
  </cols>
  <sheetData>
    <row r="1" spans="1:4" s="3" customFormat="1" ht="32.25">
      <c r="A1" s="1" t="s">
        <v>426</v>
      </c>
      <c r="B1" s="2"/>
      <c r="C1" s="2"/>
      <c r="D1" s="2"/>
    </row>
    <row r="2" spans="1:4" s="3" customFormat="1" ht="26.25">
      <c r="A2" s="304"/>
      <c r="B2" s="2"/>
      <c r="C2" s="2"/>
      <c r="D2" s="2"/>
    </row>
    <row r="3" spans="1:4">
      <c r="A3" s="11"/>
      <c r="B3" s="11"/>
      <c r="C3" s="11"/>
      <c r="D3" s="11"/>
    </row>
    <row r="4" spans="1:4" s="15" customFormat="1" ht="12.75">
      <c r="A4" s="13"/>
      <c r="B4" s="14"/>
      <c r="C4" s="13"/>
      <c r="D4" s="13"/>
    </row>
    <row r="5" spans="1:4" s="15" customFormat="1" ht="18.75">
      <c r="A5" s="70" t="s">
        <v>100</v>
      </c>
      <c r="B5" s="16"/>
      <c r="C5" s="17"/>
      <c r="D5" s="17"/>
    </row>
    <row r="6" spans="1:4" ht="12.75">
      <c r="A6" s="19"/>
      <c r="B6" s="67" t="s">
        <v>104</v>
      </c>
      <c r="C6" s="67"/>
      <c r="D6" s="11"/>
    </row>
    <row r="7" spans="1:4" ht="15">
      <c r="A7" s="68" t="s">
        <v>42</v>
      </c>
      <c r="B7" s="71">
        <f>'CYS08 Load Bank Stats'!AA17</f>
        <v>171781.6</v>
      </c>
      <c r="C7" s="69"/>
      <c r="D7" s="11"/>
    </row>
    <row r="8" spans="1:4" ht="15">
      <c r="A8" s="68" t="s">
        <v>43</v>
      </c>
      <c r="B8" s="71">
        <f>'CYS08 Load Bank Stats'!AA18</f>
        <v>29913.200000000001</v>
      </c>
      <c r="C8" s="69"/>
      <c r="D8" s="11"/>
    </row>
    <row r="9" spans="1:4" ht="15">
      <c r="A9" s="68" t="s">
        <v>207</v>
      </c>
      <c r="B9" s="71">
        <f>B23/B24*(SUM(B7:B8))</f>
        <v>16887.032080744648</v>
      </c>
      <c r="C9" s="67" t="s">
        <v>219</v>
      </c>
      <c r="D9" s="11"/>
    </row>
    <row r="10" spans="1:4" ht="15">
      <c r="A10" s="68" t="s">
        <v>105</v>
      </c>
      <c r="B10" s="71">
        <f>SUM(B7:B9)</f>
        <v>218581.83208074467</v>
      </c>
      <c r="C10" s="71">
        <f>'CYS08 Load Bank Stats'!AB21</f>
        <v>294665.96429708478</v>
      </c>
      <c r="D10" s="11"/>
    </row>
    <row r="11" spans="1:4" ht="15">
      <c r="A11" s="68"/>
      <c r="B11" s="69"/>
      <c r="C11" s="69"/>
      <c r="D11" s="11"/>
    </row>
    <row r="12" spans="1:4" ht="15">
      <c r="A12" s="68"/>
      <c r="B12" s="69"/>
      <c r="C12" s="67" t="s">
        <v>213</v>
      </c>
      <c r="D12" s="11"/>
    </row>
    <row r="13" spans="1:4" ht="15">
      <c r="A13" s="68" t="s">
        <v>106</v>
      </c>
      <c r="B13" s="74">
        <v>1</v>
      </c>
      <c r="C13" s="74">
        <v>0</v>
      </c>
      <c r="D13" s="11"/>
    </row>
    <row r="14" spans="1:4" ht="15">
      <c r="A14" s="68" t="s">
        <v>102</v>
      </c>
      <c r="B14" s="74">
        <f>'CYS08 Load Bank Stats'!AA3</f>
        <v>44</v>
      </c>
      <c r="C14" s="74">
        <f>'CYS08 Load Bank Stats'!AB3</f>
        <v>8</v>
      </c>
      <c r="D14" s="11"/>
    </row>
    <row r="15" spans="1:4" ht="15">
      <c r="A15" s="68" t="s">
        <v>103</v>
      </c>
      <c r="B15" s="74">
        <f>'CYS08 Load Bank Stats'!AA4</f>
        <v>20</v>
      </c>
      <c r="C15" s="74">
        <f>'CYS08 Load Bank Stats'!AB4</f>
        <v>8</v>
      </c>
      <c r="D15" s="11"/>
    </row>
    <row r="16" spans="1:4" ht="15">
      <c r="A16" s="68" t="s">
        <v>217</v>
      </c>
      <c r="B16" s="74">
        <f>'CYS08 Load Bank Stats'!AA5</f>
        <v>6</v>
      </c>
      <c r="C16" s="74">
        <f>'CYS08 Load Bank Stats'!AB5</f>
        <v>8</v>
      </c>
      <c r="D16" s="11"/>
    </row>
    <row r="17" spans="1:4" ht="12.75">
      <c r="A17" s="19"/>
      <c r="B17" s="19"/>
      <c r="C17" s="11"/>
      <c r="D17" s="11"/>
    </row>
    <row r="18" spans="1:4" s="15" customFormat="1" ht="12.75">
      <c r="A18" s="13"/>
      <c r="B18" s="14"/>
      <c r="C18" s="13"/>
      <c r="D18" s="13"/>
    </row>
    <row r="19" spans="1:4" s="15" customFormat="1" ht="18.75">
      <c r="A19" s="70" t="s">
        <v>101</v>
      </c>
      <c r="B19" s="16"/>
      <c r="C19" s="17"/>
      <c r="D19" s="17"/>
    </row>
    <row r="20" spans="1:4" ht="12.75">
      <c r="A20" s="19"/>
      <c r="B20" s="67" t="s">
        <v>104</v>
      </c>
      <c r="C20" s="67"/>
      <c r="D20" s="11"/>
    </row>
    <row r="21" spans="1:4" ht="15">
      <c r="A21" s="68" t="s">
        <v>42</v>
      </c>
      <c r="B21" s="71">
        <f>'SAT 46 Load Bank Stats'!J11</f>
        <v>439480.66711931361</v>
      </c>
      <c r="C21" s="69"/>
      <c r="D21" s="11"/>
    </row>
    <row r="22" spans="1:4" ht="15">
      <c r="A22" s="68" t="s">
        <v>43</v>
      </c>
      <c r="B22" s="71">
        <f>'SAT 46 Load Bank Stats'!J12</f>
        <v>109690.61173147288</v>
      </c>
      <c r="C22" s="69"/>
      <c r="D22" s="11"/>
    </row>
    <row r="23" spans="1:4" ht="15">
      <c r="A23" s="68" t="s">
        <v>207</v>
      </c>
      <c r="B23" s="71">
        <f>'SAT 46 Load Bank Stats'!J13</f>
        <v>50181.186149213485</v>
      </c>
      <c r="C23" s="67" t="s">
        <v>219</v>
      </c>
      <c r="D23" s="11"/>
    </row>
    <row r="24" spans="1:4" ht="15">
      <c r="A24" s="68" t="s">
        <v>105</v>
      </c>
      <c r="B24" s="71">
        <f>SUM(B21:B23)</f>
        <v>599352.46499999997</v>
      </c>
      <c r="C24" s="71">
        <f>'SAT 46 Load Bank Stats'!K15</f>
        <v>881186.09266249998</v>
      </c>
      <c r="D24" s="11"/>
    </row>
    <row r="25" spans="1:4" ht="15">
      <c r="A25" s="68"/>
      <c r="B25" s="69"/>
      <c r="C25" s="69"/>
      <c r="D25" s="11"/>
    </row>
    <row r="26" spans="1:4" ht="15">
      <c r="A26" s="68"/>
      <c r="B26" s="69"/>
      <c r="C26" s="67" t="s">
        <v>213</v>
      </c>
      <c r="D26" s="11"/>
    </row>
    <row r="27" spans="1:4" ht="15">
      <c r="A27" s="68" t="s">
        <v>106</v>
      </c>
      <c r="B27" s="74">
        <f>'SAT 46 Load Bank Stats'!J4</f>
        <v>1</v>
      </c>
      <c r="C27" s="74">
        <f>'SAT 46 Load Bank Stats'!K4</f>
        <v>4</v>
      </c>
      <c r="D27" s="11"/>
    </row>
    <row r="28" spans="1:4" ht="15">
      <c r="A28" s="68" t="s">
        <v>102</v>
      </c>
      <c r="B28" s="74">
        <f>'SAT 46 Load Bank Stats'!J5</f>
        <v>0</v>
      </c>
      <c r="C28" s="74">
        <f>'SAT 46 Load Bank Stats'!K5</f>
        <v>0</v>
      </c>
      <c r="D28" s="11"/>
    </row>
    <row r="29" spans="1:4" ht="15">
      <c r="A29" s="68" t="s">
        <v>103</v>
      </c>
      <c r="B29" s="74">
        <f>'SAT 46 Load Bank Stats'!J6</f>
        <v>60</v>
      </c>
      <c r="C29" s="74">
        <f>'SAT 46 Load Bank Stats'!K6</f>
        <v>12</v>
      </c>
      <c r="D29" s="11"/>
    </row>
    <row r="30" spans="1:4" ht="15">
      <c r="A30" s="68" t="s">
        <v>216</v>
      </c>
      <c r="B30" s="74">
        <f>'SAT 46 Load Bank Stats'!J7</f>
        <v>6</v>
      </c>
      <c r="C30" s="74">
        <f>'SAT 46 Load Bank Stats'!K7</f>
        <v>12</v>
      </c>
      <c r="D30" s="11"/>
    </row>
    <row r="31" spans="1:4" ht="12.75">
      <c r="A31" s="19"/>
      <c r="B31" s="19"/>
      <c r="C31" s="11"/>
      <c r="D31" s="11"/>
    </row>
    <row r="32" spans="1:4" ht="12.75">
      <c r="A32" s="19"/>
      <c r="B32" s="19"/>
      <c r="C32" s="11"/>
      <c r="D32" s="11"/>
    </row>
    <row r="33" spans="1:4" ht="12.75">
      <c r="A33" s="19"/>
      <c r="B33" s="19"/>
      <c r="C33" s="11"/>
      <c r="D33" s="11"/>
    </row>
    <row r="34" spans="1:4" ht="12.75">
      <c r="A34" s="19"/>
      <c r="B34" s="19"/>
      <c r="C34" s="11"/>
      <c r="D34" s="11"/>
    </row>
    <row r="35" spans="1:4" ht="12.75">
      <c r="A35" s="19"/>
      <c r="B35" s="19"/>
      <c r="C35" s="11"/>
      <c r="D35" s="11"/>
    </row>
    <row r="36" spans="1:4" s="24" customFormat="1" ht="18.75">
      <c r="A36" s="70" t="s">
        <v>762</v>
      </c>
      <c r="B36" s="21"/>
      <c r="C36" s="21"/>
      <c r="D36" s="21"/>
    </row>
    <row r="37" spans="1:4" s="24" customFormat="1" ht="14.1" customHeight="1">
      <c r="A37" s="524"/>
      <c r="B37" s="525"/>
      <c r="C37" s="525"/>
      <c r="D37" s="525"/>
    </row>
    <row r="38" spans="1:4" s="24" customFormat="1" ht="14.1" customHeight="1">
      <c r="A38" s="524"/>
      <c r="B38" s="67" t="s">
        <v>760</v>
      </c>
      <c r="C38" s="67" t="s">
        <v>761</v>
      </c>
      <c r="D38" s="525"/>
    </row>
    <row r="39" spans="1:4" s="24" customFormat="1" ht="16.5" customHeight="1">
      <c r="A39" s="68" t="s">
        <v>763</v>
      </c>
      <c r="B39" s="200">
        <v>0.3</v>
      </c>
      <c r="C39" s="200">
        <f>1-B39</f>
        <v>0.7</v>
      </c>
      <c r="D39" s="525"/>
    </row>
    <row r="40" spans="1:4" s="24" customFormat="1" ht="14.1" customHeight="1">
      <c r="A40" s="524"/>
      <c r="B40" s="525"/>
      <c r="C40" s="525"/>
      <c r="D40" s="525"/>
    </row>
    <row r="41" spans="1:4" s="24" customFormat="1" ht="15.75">
      <c r="A41" s="72" t="s">
        <v>107</v>
      </c>
      <c r="B41" s="25"/>
      <c r="C41" s="25"/>
      <c r="D41" s="25"/>
    </row>
    <row r="42" spans="1:4" s="24" customFormat="1" ht="12.75">
      <c r="A42" s="19"/>
      <c r="B42" s="67" t="s">
        <v>104</v>
      </c>
      <c r="C42" s="25"/>
      <c r="D42" s="11"/>
    </row>
    <row r="43" spans="1:4" s="24" customFormat="1" ht="15">
      <c r="A43" s="68" t="s">
        <v>109</v>
      </c>
      <c r="B43" s="71">
        <f>($B$39*B21)+($C$39*B7)</f>
        <v>252091.32013579409</v>
      </c>
      <c r="C43" s="25"/>
      <c r="D43" s="11"/>
    </row>
    <row r="44" spans="1:4" s="24" customFormat="1" ht="15">
      <c r="A44" s="68" t="s">
        <v>110</v>
      </c>
      <c r="B44" s="71">
        <f t="shared" ref="B44:B45" si="0">($B$39*B22)+($C$39*B8)</f>
        <v>53846.423519441858</v>
      </c>
      <c r="C44" s="25"/>
      <c r="D44" s="11"/>
    </row>
    <row r="45" spans="1:4" s="24" customFormat="1" ht="15">
      <c r="A45" s="68" t="s">
        <v>211</v>
      </c>
      <c r="B45" s="71">
        <f t="shared" si="0"/>
        <v>26875.278301285296</v>
      </c>
      <c r="C45" s="67" t="s">
        <v>219</v>
      </c>
      <c r="D45" s="11"/>
    </row>
    <row r="46" spans="1:4" s="24" customFormat="1" ht="15">
      <c r="A46" s="68" t="s">
        <v>111</v>
      </c>
      <c r="B46" s="71">
        <f>SUM(B43:B45)</f>
        <v>332813.02195652126</v>
      </c>
      <c r="C46" s="71">
        <f>($B$39*C24)+($C$39*C10)</f>
        <v>470622.00280670926</v>
      </c>
      <c r="D46" s="11"/>
    </row>
    <row r="47" spans="1:4" s="24" customFormat="1" ht="15">
      <c r="A47" s="68"/>
      <c r="B47" s="68"/>
      <c r="C47" s="68"/>
      <c r="D47" s="11"/>
    </row>
    <row r="48" spans="1:4" s="24" customFormat="1" ht="15">
      <c r="A48" s="68"/>
      <c r="B48" s="68"/>
      <c r="C48" s="68"/>
      <c r="D48" s="11"/>
    </row>
    <row r="49" spans="1:4" s="24" customFormat="1" ht="15">
      <c r="A49" s="73" t="s">
        <v>108</v>
      </c>
      <c r="B49" s="69"/>
      <c r="C49" s="69"/>
      <c r="D49" s="11"/>
    </row>
    <row r="50" spans="1:4" s="24" customFormat="1" ht="15">
      <c r="A50" s="68"/>
      <c r="B50" s="69"/>
      <c r="C50" s="67" t="s">
        <v>213</v>
      </c>
      <c r="D50" s="11"/>
    </row>
    <row r="51" spans="1:4" s="24" customFormat="1" ht="15">
      <c r="A51" s="68" t="s">
        <v>112</v>
      </c>
      <c r="B51" s="179">
        <f>AVERAGE(B27,B13)</f>
        <v>1</v>
      </c>
      <c r="C51" s="74">
        <f t="shared" ref="C51:C53" si="1">AVERAGE(C27,C13)</f>
        <v>2</v>
      </c>
      <c r="D51" s="11"/>
    </row>
    <row r="52" spans="1:4" s="24" customFormat="1" ht="15">
      <c r="A52" s="68" t="s">
        <v>113</v>
      </c>
      <c r="B52" s="74">
        <f>AVERAGE(SUM(B14:B15),SUM(B28:B29))</f>
        <v>62</v>
      </c>
      <c r="C52" s="74">
        <f>C29</f>
        <v>12</v>
      </c>
      <c r="D52" s="11"/>
    </row>
    <row r="53" spans="1:4" s="24" customFormat="1" ht="15">
      <c r="A53" s="68" t="s">
        <v>619</v>
      </c>
      <c r="B53" s="74">
        <f>AVERAGE(B30,B16)</f>
        <v>6</v>
      </c>
      <c r="C53" s="74">
        <f t="shared" si="1"/>
        <v>10</v>
      </c>
      <c r="D53" s="11"/>
    </row>
    <row r="54" spans="1:4" s="24" customFormat="1" ht="15">
      <c r="A54"/>
      <c r="B54"/>
      <c r="C54"/>
      <c r="D54"/>
    </row>
    <row r="55" spans="1:4" s="24" customFormat="1" ht="12.75"/>
    <row r="56" spans="1:4" s="24" customFormat="1" ht="12.75"/>
    <row r="57" spans="1:4" s="24" customFormat="1" ht="12.75"/>
    <row r="58" spans="1:4" s="24" customFormat="1" ht="12.75"/>
    <row r="59" spans="1:4" s="24" customFormat="1" ht="12.75"/>
    <row r="60" spans="1:4" s="24" customFormat="1" ht="12.75"/>
    <row r="61" spans="1:4" s="24" customFormat="1" ht="12.75"/>
    <row r="62" spans="1:4" s="24" customFormat="1" ht="12.75"/>
    <row r="63" spans="1:4" s="24" customFormat="1" ht="12.75"/>
    <row r="64" spans="1:4" s="24" customFormat="1" ht="12.75"/>
    <row r="65" spans="1:4" ht="12.75">
      <c r="A65" s="24"/>
      <c r="B65" s="24"/>
      <c r="C65" s="24"/>
      <c r="D65" s="24"/>
    </row>
    <row r="66" spans="1:4" s="24" customFormat="1" ht="12.75"/>
    <row r="67" spans="1:4" s="24" customFormat="1" ht="12.75"/>
    <row r="68" spans="1:4" ht="12.75">
      <c r="A68" s="24"/>
      <c r="B68" s="24"/>
      <c r="C68" s="24"/>
      <c r="D68" s="24"/>
    </row>
    <row r="69" spans="1:4" ht="12.75">
      <c r="A69" s="24"/>
      <c r="B69" s="24"/>
      <c r="C69" s="24"/>
      <c r="D69" s="24"/>
    </row>
    <row r="70" spans="1:4" ht="12.75">
      <c r="A70" s="24"/>
      <c r="B70" s="24"/>
      <c r="C70" s="24"/>
      <c r="D70" s="24"/>
    </row>
  </sheetData>
  <phoneticPr fontId="54"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30CF0-6982-425F-B8F9-E0A3E7FA8F4E}">
  <sheetPr codeName="Sheet20"/>
  <dimension ref="A1:H63"/>
  <sheetViews>
    <sheetView zoomScale="90" zoomScaleNormal="90" workbookViewId="0">
      <selection activeCell="B22" sqref="B22:D22"/>
    </sheetView>
  </sheetViews>
  <sheetFormatPr defaultColWidth="11.42578125" defaultRowHeight="12"/>
  <cols>
    <col min="1" max="1" width="44.28515625" style="12" bestFit="1" customWidth="1"/>
    <col min="2" max="2" width="14.85546875" style="12" bestFit="1" customWidth="1"/>
    <col min="3" max="3" width="22.140625" style="12" bestFit="1" customWidth="1"/>
    <col min="4" max="4" width="10.140625" style="12" customWidth="1"/>
    <col min="5" max="16384" width="11.42578125" style="12"/>
  </cols>
  <sheetData>
    <row r="1" spans="1:8" s="3" customFormat="1" ht="32.25">
      <c r="A1" s="1" t="s">
        <v>463</v>
      </c>
      <c r="B1" s="2"/>
      <c r="C1" s="2"/>
      <c r="D1" s="2"/>
    </row>
    <row r="2" spans="1:8" s="3" customFormat="1" ht="23.25">
      <c r="A2" s="4"/>
      <c r="B2" s="2"/>
      <c r="C2" s="2"/>
      <c r="D2" s="2"/>
    </row>
    <row r="3" spans="1:8">
      <c r="A3" s="11"/>
      <c r="B3" s="11"/>
      <c r="C3" s="11"/>
      <c r="D3" s="11"/>
    </row>
    <row r="4" spans="1:8" s="15" customFormat="1" ht="12.75">
      <c r="A4" s="13"/>
      <c r="B4" s="14"/>
      <c r="C4" s="13"/>
      <c r="D4" s="13"/>
    </row>
    <row r="5" spans="1:8" s="15" customFormat="1" ht="18.75">
      <c r="A5" s="70" t="s">
        <v>173</v>
      </c>
      <c r="B5" s="16"/>
      <c r="C5" s="17"/>
      <c r="D5" s="17"/>
      <c r="E5" s="18"/>
      <c r="F5" s="18"/>
      <c r="G5" s="18"/>
      <c r="H5" s="18"/>
    </row>
    <row r="6" spans="1:8" ht="12.75">
      <c r="A6" s="19"/>
      <c r="B6" s="67" t="s">
        <v>69</v>
      </c>
      <c r="C6" s="67"/>
      <c r="D6" s="11"/>
    </row>
    <row r="7" spans="1:8" ht="15">
      <c r="A7" s="68" t="s">
        <v>42</v>
      </c>
      <c r="B7" s="71">
        <f>'Fedora Manassas Load Bank Stats'!M9</f>
        <v>3500</v>
      </c>
      <c r="C7" s="69"/>
      <c r="D7" s="11"/>
    </row>
    <row r="8" spans="1:8" ht="15">
      <c r="A8" s="68" t="s">
        <v>43</v>
      </c>
      <c r="B8" s="71">
        <f>'Fedora Manassas Load Bank Stats'!M10</f>
        <v>1388</v>
      </c>
      <c r="C8" s="69"/>
      <c r="D8" s="11"/>
    </row>
    <row r="9" spans="1:8" ht="15">
      <c r="A9" s="68" t="s">
        <v>207</v>
      </c>
      <c r="B9" s="71">
        <f>'Fedora Manassas Load Bank Stats'!M11</f>
        <v>440</v>
      </c>
      <c r="C9" s="69"/>
      <c r="D9" s="11"/>
    </row>
    <row r="10" spans="1:8" ht="15">
      <c r="A10" s="68" t="s">
        <v>105</v>
      </c>
      <c r="B10" s="71">
        <f>SUM(B7:B9)</f>
        <v>5328</v>
      </c>
      <c r="C10" s="69"/>
      <c r="D10" s="11"/>
    </row>
    <row r="11" spans="1:8" ht="15">
      <c r="A11" s="68"/>
      <c r="B11" s="69"/>
      <c r="C11" s="69"/>
      <c r="D11" s="11"/>
    </row>
    <row r="12" spans="1:8" ht="15">
      <c r="A12" s="68"/>
      <c r="B12" s="69"/>
      <c r="C12" s="67" t="s">
        <v>213</v>
      </c>
      <c r="D12" s="11"/>
    </row>
    <row r="13" spans="1:8" ht="15">
      <c r="A13" s="68" t="s">
        <v>106</v>
      </c>
      <c r="B13" s="74">
        <v>0</v>
      </c>
      <c r="C13" s="74">
        <v>0</v>
      </c>
      <c r="D13" s="11"/>
    </row>
    <row r="14" spans="1:8" ht="15">
      <c r="A14" s="68" t="s">
        <v>102</v>
      </c>
      <c r="B14" s="74"/>
      <c r="C14" s="74">
        <v>0</v>
      </c>
      <c r="D14" s="11"/>
      <c r="G14" s="20"/>
    </row>
    <row r="15" spans="1:8" ht="15">
      <c r="A15" s="68" t="s">
        <v>103</v>
      </c>
      <c r="B15" s="74">
        <f>'Fedora Manassas Load Bank Stats'!M2</f>
        <v>2</v>
      </c>
      <c r="C15" s="74">
        <f>'Fedora Manassas Load Bank Stats'!O2</f>
        <v>4</v>
      </c>
      <c r="D15" s="11"/>
    </row>
    <row r="16" spans="1:8" ht="15">
      <c r="A16" s="68" t="s">
        <v>427</v>
      </c>
      <c r="B16" s="74">
        <f>'Fedora Manassas Load Bank Stats'!M3</f>
        <v>2</v>
      </c>
      <c r="C16" s="74">
        <f>'Fedora Manassas Load Bank Stats'!O2</f>
        <v>4</v>
      </c>
      <c r="D16" s="11"/>
    </row>
    <row r="17" spans="1:8" ht="12.75">
      <c r="A17" s="19"/>
      <c r="B17" s="19"/>
      <c r="C17" s="11"/>
      <c r="D17" s="11"/>
    </row>
    <row r="18" spans="1:8" s="15" customFormat="1" ht="12.75">
      <c r="A18" s="13"/>
      <c r="B18" s="14"/>
      <c r="C18" s="13"/>
      <c r="D18" s="13"/>
    </row>
    <row r="19" spans="1:8" s="15" customFormat="1" ht="18.75">
      <c r="A19" s="70" t="s">
        <v>449</v>
      </c>
      <c r="B19" s="16"/>
      <c r="C19" s="17"/>
      <c r="D19" s="17"/>
      <c r="E19" s="18"/>
      <c r="F19" s="18"/>
      <c r="G19" s="18"/>
      <c r="H19" s="18"/>
    </row>
    <row r="20" spans="1:8" ht="12.75">
      <c r="A20" s="19"/>
      <c r="B20" s="67" t="s">
        <v>69</v>
      </c>
      <c r="C20" s="67"/>
      <c r="D20" s="11"/>
    </row>
    <row r="21" spans="1:8" ht="15">
      <c r="A21" s="68" t="s">
        <v>42</v>
      </c>
      <c r="B21" s="71">
        <f>'Fedora Ft. Worth Load Bank Stat'!N9</f>
        <v>3788.7454062882807</v>
      </c>
      <c r="C21" s="69"/>
      <c r="D21" s="11"/>
    </row>
    <row r="22" spans="1:8" ht="15">
      <c r="A22" s="68" t="s">
        <v>43</v>
      </c>
      <c r="B22" s="71">
        <f>'Fedora Ft. Worth Load Bank Stat'!N10</f>
        <v>1298.9984250131249</v>
      </c>
      <c r="C22" s="69"/>
      <c r="D22" s="11"/>
    </row>
    <row r="23" spans="1:8" ht="15">
      <c r="A23" s="68" t="s">
        <v>207</v>
      </c>
      <c r="B23" s="71">
        <f>'Fedora Ft. Worth Load Bank Stat'!N11</f>
        <v>2335.166168698594</v>
      </c>
      <c r="C23" s="69"/>
      <c r="D23" s="11"/>
    </row>
    <row r="24" spans="1:8" ht="15">
      <c r="A24" s="68" t="s">
        <v>105</v>
      </c>
      <c r="B24" s="71">
        <f>SUM(B21:B23)</f>
        <v>7422.91</v>
      </c>
      <c r="C24" s="69"/>
      <c r="D24" s="11"/>
    </row>
    <row r="25" spans="1:8" ht="15">
      <c r="A25" s="68"/>
      <c r="B25" s="69"/>
      <c r="C25" s="69"/>
      <c r="D25" s="11"/>
    </row>
    <row r="26" spans="1:8" ht="15">
      <c r="A26" s="68"/>
      <c r="B26" s="69"/>
      <c r="C26" s="67" t="s">
        <v>213</v>
      </c>
      <c r="D26" s="11"/>
    </row>
    <row r="27" spans="1:8" ht="15">
      <c r="A27" s="68" t="s">
        <v>106</v>
      </c>
      <c r="B27" s="74">
        <v>0</v>
      </c>
      <c r="C27" s="74">
        <v>0</v>
      </c>
      <c r="D27" s="11"/>
    </row>
    <row r="28" spans="1:8" ht="15">
      <c r="A28" s="68" t="s">
        <v>102</v>
      </c>
      <c r="B28" s="74">
        <f>'SAT 46 Load Bank Stats'!J5</f>
        <v>0</v>
      </c>
      <c r="C28" s="74">
        <f>'SAT 46 Load Bank Stats'!K5</f>
        <v>0</v>
      </c>
      <c r="D28" s="11"/>
    </row>
    <row r="29" spans="1:8" ht="15">
      <c r="A29" s="68" t="s">
        <v>103</v>
      </c>
      <c r="B29" s="74">
        <f>'Fedora Ft. Worth Load Bank Stat'!L2</f>
        <v>2</v>
      </c>
      <c r="C29" s="74">
        <f>'Fedora Ft. Worth Load Bank Stat'!N2</f>
        <v>2</v>
      </c>
      <c r="D29" s="11"/>
    </row>
    <row r="30" spans="1:8" ht="15">
      <c r="A30" s="68" t="s">
        <v>427</v>
      </c>
      <c r="B30" s="74">
        <f>'Fedora Ft. Worth Load Bank Stat'!L3</f>
        <v>2</v>
      </c>
      <c r="C30" s="74">
        <f>'Fedora Ft. Worth Load Bank Stat'!N2</f>
        <v>2</v>
      </c>
      <c r="D30" s="11"/>
      <c r="G30" s="20"/>
    </row>
    <row r="31" spans="1:8" ht="12.75">
      <c r="A31" s="19"/>
      <c r="B31" s="19"/>
      <c r="C31" s="11"/>
      <c r="D31" s="11"/>
    </row>
    <row r="32" spans="1:8" ht="12.75">
      <c r="A32" s="19"/>
      <c r="B32" s="19"/>
      <c r="C32" s="11"/>
      <c r="D32" s="11"/>
    </row>
    <row r="33" spans="1:8" s="24" customFormat="1" ht="18.75">
      <c r="A33" s="70" t="s">
        <v>172</v>
      </c>
      <c r="B33" s="21"/>
      <c r="C33" s="21"/>
      <c r="D33" s="21"/>
      <c r="E33" s="22"/>
      <c r="F33" s="22"/>
      <c r="G33" s="23"/>
      <c r="H33" s="22"/>
    </row>
    <row r="34" spans="1:8" s="24" customFormat="1" ht="15.75">
      <c r="A34" s="72" t="s">
        <v>107</v>
      </c>
      <c r="B34" s="25"/>
      <c r="C34" s="25"/>
      <c r="D34" s="25"/>
      <c r="E34" s="22"/>
      <c r="F34" s="22"/>
      <c r="G34" s="23"/>
      <c r="H34" s="22"/>
    </row>
    <row r="35" spans="1:8" s="24" customFormat="1" ht="12.75">
      <c r="A35" s="19"/>
      <c r="B35" s="67" t="s">
        <v>428</v>
      </c>
      <c r="C35" s="25"/>
      <c r="D35" s="11"/>
      <c r="G35" s="26"/>
    </row>
    <row r="36" spans="1:8" s="24" customFormat="1" ht="15">
      <c r="A36" s="68" t="s">
        <v>109</v>
      </c>
      <c r="B36" s="71">
        <f>AVERAGE(B21,B7)</f>
        <v>3644.3727031441404</v>
      </c>
      <c r="C36" s="25"/>
      <c r="D36" s="11"/>
    </row>
    <row r="37" spans="1:8" s="24" customFormat="1" ht="15">
      <c r="A37" s="68" t="s">
        <v>110</v>
      </c>
      <c r="B37" s="71">
        <f>AVERAGE(B22,B8)</f>
        <v>1343.4992125065623</v>
      </c>
      <c r="C37" s="25"/>
      <c r="D37" s="11"/>
    </row>
    <row r="38" spans="1:8" s="24" customFormat="1" ht="15">
      <c r="A38" s="68" t="s">
        <v>211</v>
      </c>
      <c r="B38" s="71">
        <f>AVERAGE(B23,B9)</f>
        <v>1387.583084349297</v>
      </c>
      <c r="C38" s="25"/>
      <c r="D38" s="11"/>
    </row>
    <row r="39" spans="1:8" s="24" customFormat="1" ht="15">
      <c r="A39" s="68" t="s">
        <v>111</v>
      </c>
      <c r="B39" s="71">
        <f>SUM(B36:B38)</f>
        <v>6375.4549999999999</v>
      </c>
      <c r="C39" s="25"/>
      <c r="D39" s="11"/>
    </row>
    <row r="40" spans="1:8" s="24" customFormat="1" ht="15">
      <c r="A40" s="68"/>
      <c r="B40" s="68"/>
      <c r="C40" s="68"/>
      <c r="D40" s="11"/>
    </row>
    <row r="41" spans="1:8" s="24" customFormat="1" ht="15">
      <c r="A41" s="68"/>
      <c r="B41" s="68"/>
      <c r="C41" s="68"/>
      <c r="D41" s="11"/>
    </row>
    <row r="42" spans="1:8" s="24" customFormat="1" ht="15">
      <c r="A42" s="73" t="s">
        <v>108</v>
      </c>
      <c r="B42" s="69"/>
      <c r="C42" s="69"/>
      <c r="D42" s="11"/>
    </row>
    <row r="43" spans="1:8" s="24" customFormat="1" ht="15">
      <c r="A43" s="68"/>
      <c r="B43" s="69"/>
      <c r="C43" s="67" t="s">
        <v>213</v>
      </c>
      <c r="D43" s="11"/>
    </row>
    <row r="44" spans="1:8" s="24" customFormat="1" ht="15">
      <c r="A44" s="68" t="s">
        <v>112</v>
      </c>
      <c r="B44" s="179">
        <f>AVERAGE(B27,B13)</f>
        <v>0</v>
      </c>
      <c r="C44" s="74">
        <f t="shared" ref="C44" si="0">AVERAGE(C27,C13)</f>
        <v>0</v>
      </c>
      <c r="D44" s="11"/>
    </row>
    <row r="45" spans="1:8" s="24" customFormat="1" ht="15">
      <c r="A45" s="68" t="s">
        <v>113</v>
      </c>
      <c r="B45" s="74">
        <f>AVERAGE(SUM(B14:B15),SUM(B28:B29))</f>
        <v>2</v>
      </c>
      <c r="C45" s="74">
        <f>AVERAGE(C29,C15)</f>
        <v>3</v>
      </c>
      <c r="D45" s="11"/>
    </row>
    <row r="46" spans="1:8" s="24" customFormat="1" ht="15">
      <c r="A46" s="68" t="s">
        <v>429</v>
      </c>
      <c r="B46" s="74">
        <f>AVERAGE(B30,B16)</f>
        <v>2</v>
      </c>
      <c r="C46" s="74">
        <f>AVERAGE(C30,C16)</f>
        <v>3</v>
      </c>
      <c r="D46" s="11"/>
    </row>
    <row r="47" spans="1:8" s="24" customFormat="1" ht="15">
      <c r="A47"/>
      <c r="B47"/>
      <c r="C47"/>
      <c r="D47"/>
    </row>
    <row r="48" spans="1:8" s="24" customFormat="1" ht="12.75"/>
    <row r="49" spans="1:7" s="24" customFormat="1" ht="12.75"/>
    <row r="50" spans="1:7" s="24" customFormat="1" ht="12.75"/>
    <row r="51" spans="1:7" s="24" customFormat="1" ht="12.75"/>
    <row r="52" spans="1:7" s="24" customFormat="1" ht="12.75"/>
    <row r="53" spans="1:7" s="24" customFormat="1" ht="12.75"/>
    <row r="54" spans="1:7" s="24" customFormat="1" ht="12.75"/>
    <row r="55" spans="1:7" s="24" customFormat="1" ht="12.75"/>
    <row r="56" spans="1:7" s="24" customFormat="1" ht="12.75"/>
    <row r="57" spans="1:7" s="24" customFormat="1" ht="12.75"/>
    <row r="58" spans="1:7" ht="12.75">
      <c r="A58" s="24"/>
      <c r="B58" s="24"/>
      <c r="C58" s="24"/>
      <c r="D58" s="24"/>
      <c r="E58" s="24"/>
      <c r="F58" s="24"/>
      <c r="G58" s="24"/>
    </row>
    <row r="59" spans="1:7" s="24" customFormat="1" ht="12.75"/>
    <row r="60" spans="1:7" s="24" customFormat="1" ht="12.75"/>
    <row r="61" spans="1:7" ht="12.75">
      <c r="A61" s="24"/>
      <c r="B61" s="24"/>
      <c r="C61" s="24"/>
      <c r="D61" s="24"/>
      <c r="E61" s="24"/>
      <c r="F61" s="24"/>
      <c r="G61" s="24"/>
    </row>
    <row r="62" spans="1:7" ht="12.75">
      <c r="A62" s="24"/>
      <c r="B62" s="24"/>
      <c r="C62" s="24"/>
      <c r="D62" s="24"/>
      <c r="E62" s="24"/>
      <c r="F62" s="24"/>
      <c r="G62" s="24"/>
    </row>
    <row r="63" spans="1:7" ht="12.75">
      <c r="A63" s="24"/>
      <c r="B63" s="24"/>
      <c r="C63" s="24"/>
      <c r="D63" s="24"/>
      <c r="E63" s="24"/>
      <c r="F63" s="24"/>
      <c r="G63" s="2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9F4A-D6D4-4C40-B524-C864EAF4DA24}">
  <sheetPr codeName="Sheet29"/>
  <dimension ref="A1:J70"/>
  <sheetViews>
    <sheetView topLeftCell="A17" workbookViewId="0">
      <selection activeCell="F26" sqref="F26"/>
    </sheetView>
  </sheetViews>
  <sheetFormatPr defaultRowHeight="15"/>
  <cols>
    <col min="1" max="1" width="28" customWidth="1"/>
    <col min="2" max="2" width="14.42578125" bestFit="1" customWidth="1"/>
    <col min="3" max="3" width="10.85546875" customWidth="1"/>
    <col min="4" max="4" width="7.85546875" bestFit="1" customWidth="1"/>
    <col min="5" max="5" width="22.85546875" bestFit="1" customWidth="1"/>
    <col min="6" max="6" width="13.5703125" customWidth="1"/>
    <col min="7" max="7" width="15.140625" customWidth="1"/>
    <col min="8" max="8" width="12.140625" bestFit="1" customWidth="1"/>
  </cols>
  <sheetData>
    <row r="1" spans="1:8" ht="15.75" thickBot="1"/>
    <row r="2" spans="1:8">
      <c r="A2" s="585" t="s">
        <v>727</v>
      </c>
      <c r="B2" s="586"/>
      <c r="C2" s="586"/>
      <c r="D2" s="586"/>
      <c r="E2" s="586"/>
      <c r="F2" s="587"/>
      <c r="G2" s="587"/>
      <c r="H2" s="588"/>
    </row>
    <row r="3" spans="1:8">
      <c r="A3" s="583"/>
      <c r="B3" s="584"/>
      <c r="C3" s="589"/>
      <c r="D3" s="590"/>
      <c r="E3" s="591"/>
      <c r="F3" s="591"/>
      <c r="G3" s="591"/>
      <c r="H3" s="592"/>
    </row>
    <row r="4" spans="1:8">
      <c r="A4" s="152"/>
      <c r="H4" s="154"/>
    </row>
    <row r="5" spans="1:8" ht="45">
      <c r="A5" s="353" t="s">
        <v>567</v>
      </c>
      <c r="B5" s="354" t="s">
        <v>568</v>
      </c>
      <c r="C5" s="356" t="s">
        <v>726</v>
      </c>
      <c r="D5" s="356" t="s">
        <v>569</v>
      </c>
      <c r="E5" s="355" t="s">
        <v>571</v>
      </c>
      <c r="F5" s="456" t="s">
        <v>728</v>
      </c>
      <c r="G5" s="456" t="s">
        <v>735</v>
      </c>
      <c r="H5" s="357" t="s">
        <v>105</v>
      </c>
    </row>
    <row r="6" spans="1:8">
      <c r="A6" s="343"/>
      <c r="B6" s="344"/>
      <c r="C6" s="345"/>
      <c r="D6" s="346"/>
      <c r="E6" s="391" t="s">
        <v>600</v>
      </c>
      <c r="F6" s="511"/>
      <c r="G6" s="511"/>
      <c r="H6" s="347"/>
    </row>
    <row r="7" spans="1:8" ht="15.75" thickBot="1">
      <c r="A7" s="348" t="s">
        <v>572</v>
      </c>
      <c r="B7" s="349">
        <v>1</v>
      </c>
      <c r="C7" s="349">
        <f ca="1">B16</f>
        <v>87.52000000000001</v>
      </c>
      <c r="D7" s="350">
        <f ca="1">C7*B14</f>
        <v>43.760000000000005</v>
      </c>
      <c r="E7" s="364">
        <v>58.8645</v>
      </c>
      <c r="F7" s="364">
        <f ca="1">E7*D7</f>
        <v>2575.9105200000004</v>
      </c>
      <c r="G7" s="364">
        <f ca="1">C7*F17</f>
        <v>1169.017142857143</v>
      </c>
      <c r="H7" s="364">
        <f ca="1">F7+G7</f>
        <v>3744.9276628571433</v>
      </c>
    </row>
    <row r="8" spans="1:8" ht="15.75" thickBot="1">
      <c r="A8" s="574"/>
      <c r="B8" s="575"/>
      <c r="C8" s="576"/>
      <c r="D8" s="363">
        <f ca="1">SUM(D6:D7)</f>
        <v>43.760000000000005</v>
      </c>
      <c r="E8" s="365" t="s">
        <v>586</v>
      </c>
      <c r="F8" s="365"/>
      <c r="G8" s="365"/>
      <c r="H8" s="365">
        <f ca="1">SUM(H6:H7)</f>
        <v>3744.9276628571433</v>
      </c>
    </row>
    <row r="9" spans="1:8" ht="30.75" thickBot="1">
      <c r="A9" s="577"/>
      <c r="B9" s="578"/>
      <c r="C9" s="579"/>
      <c r="D9" s="366" t="s">
        <v>570</v>
      </c>
      <c r="E9" s="362"/>
      <c r="F9" s="362"/>
      <c r="G9" s="362"/>
      <c r="H9" s="361"/>
    </row>
    <row r="10" spans="1:8">
      <c r="A10" s="438"/>
      <c r="B10" s="439"/>
      <c r="C10" s="439"/>
      <c r="D10" s="359"/>
      <c r="E10" s="362"/>
      <c r="F10" s="362"/>
      <c r="G10" s="362"/>
      <c r="H10" s="361"/>
    </row>
    <row r="11" spans="1:8">
      <c r="A11" s="152"/>
      <c r="D11" s="360"/>
      <c r="E11" s="362"/>
      <c r="F11" s="362"/>
      <c r="G11" s="362"/>
      <c r="H11" s="361"/>
    </row>
    <row r="13" spans="1:8" ht="15.75" thickBot="1">
      <c r="E13" t="s">
        <v>729</v>
      </c>
    </row>
    <row r="14" spans="1:8" ht="30.75" thickBot="1">
      <c r="A14" s="358" t="s">
        <v>574</v>
      </c>
      <c r="B14" s="367">
        <f>0.5</f>
        <v>0.5</v>
      </c>
      <c r="E14" s="358" t="s">
        <v>730</v>
      </c>
      <c r="F14" s="367" t="s">
        <v>731</v>
      </c>
    </row>
    <row r="15" spans="1:8" ht="30.75" thickBot="1">
      <c r="A15" s="358" t="s">
        <v>724</v>
      </c>
      <c r="B15" s="509">
        <v>50</v>
      </c>
      <c r="E15" s="358" t="s">
        <v>732</v>
      </c>
      <c r="F15" s="371">
        <v>110</v>
      </c>
    </row>
    <row r="16" spans="1:8" ht="30.75" thickBot="1">
      <c r="A16" s="358" t="s">
        <v>725</v>
      </c>
      <c r="B16" s="510">
        <f ca="1">(B55/B15)*SUM('Master Tab'!C9:C10)</f>
        <v>87.52000000000001</v>
      </c>
      <c r="E16" s="358" t="s">
        <v>733</v>
      </c>
      <c r="F16" s="510">
        <v>1.7</v>
      </c>
    </row>
    <row r="17" spans="1:8" ht="15.75" thickBot="1">
      <c r="E17" s="358" t="s">
        <v>734</v>
      </c>
      <c r="F17" s="513">
        <f>F16/14*F15</f>
        <v>13.357142857142858</v>
      </c>
    </row>
    <row r="18" spans="1:8">
      <c r="E18" s="177"/>
      <c r="F18" s="515"/>
    </row>
    <row r="19" spans="1:8" ht="15.75" thickBot="1">
      <c r="E19" s="177"/>
      <c r="F19" s="515"/>
    </row>
    <row r="20" spans="1:8">
      <c r="A20" s="580" t="s">
        <v>737</v>
      </c>
      <c r="B20" s="581"/>
      <c r="C20" s="581"/>
      <c r="D20" s="581"/>
      <c r="E20" s="581"/>
      <c r="F20" s="582"/>
    </row>
    <row r="21" spans="1:8">
      <c r="A21" s="583"/>
      <c r="B21" s="584"/>
      <c r="C21" s="584"/>
      <c r="D21" s="584"/>
      <c r="E21" s="584"/>
      <c r="F21" s="584"/>
    </row>
    <row r="22" spans="1:8">
      <c r="A22" s="152"/>
      <c r="F22" s="154"/>
    </row>
    <row r="23" spans="1:8" ht="30">
      <c r="A23" s="517" t="s">
        <v>739</v>
      </c>
      <c r="B23" s="354" t="s">
        <v>740</v>
      </c>
      <c r="C23" s="356" t="s">
        <v>741</v>
      </c>
      <c r="D23" s="356"/>
      <c r="E23" s="355" t="s">
        <v>738</v>
      </c>
      <c r="F23" s="357" t="s">
        <v>105</v>
      </c>
    </row>
    <row r="24" spans="1:8">
      <c r="A24" s="343"/>
      <c r="B24" s="344"/>
      <c r="C24" s="345"/>
      <c r="D24" s="346"/>
      <c r="E24" s="391"/>
      <c r="F24" s="347"/>
    </row>
    <row r="25" spans="1:8" ht="15.75" thickBot="1">
      <c r="A25" s="518">
        <v>15</v>
      </c>
      <c r="B25" s="519">
        <f ca="1">B55</f>
        <v>64.352941176470594</v>
      </c>
      <c r="C25" s="349">
        <f ca="1">B25/A25</f>
        <v>4.2901960784313733</v>
      </c>
      <c r="D25" s="350"/>
      <c r="E25" s="516">
        <f>'Alternative Accessory Pricing'!$B$3</f>
        <v>592.47</v>
      </c>
      <c r="F25" s="364">
        <f ca="1">E25*C25</f>
        <v>2541.812470588236</v>
      </c>
    </row>
    <row r="26" spans="1:8" ht="15.75" thickBot="1">
      <c r="A26" s="574"/>
      <c r="B26" s="575"/>
      <c r="C26" s="576"/>
      <c r="D26" s="363"/>
      <c r="E26" s="365" t="s">
        <v>586</v>
      </c>
      <c r="F26" s="365">
        <f ca="1">SUM(F24:F25)</f>
        <v>2541.812470588236</v>
      </c>
    </row>
    <row r="27" spans="1:8" ht="30.75" thickBot="1">
      <c r="A27" s="577"/>
      <c r="B27" s="578"/>
      <c r="C27" s="579"/>
      <c r="D27" s="366" t="s">
        <v>570</v>
      </c>
      <c r="E27" s="362"/>
      <c r="F27" s="362"/>
      <c r="G27" s="362"/>
      <c r="H27" s="361"/>
    </row>
    <row r="31" spans="1:8" ht="15.75" thickBot="1"/>
    <row r="32" spans="1:8">
      <c r="A32" s="585" t="s">
        <v>736</v>
      </c>
      <c r="B32" s="586"/>
      <c r="C32" s="586"/>
      <c r="D32" s="586"/>
      <c r="E32" s="586"/>
      <c r="F32" s="587"/>
      <c r="G32" s="587"/>
      <c r="H32" s="588"/>
    </row>
    <row r="33" spans="1:9">
      <c r="A33" s="583"/>
      <c r="B33" s="584"/>
      <c r="C33" s="589"/>
      <c r="D33" s="590"/>
      <c r="E33" s="591"/>
      <c r="F33" s="591"/>
      <c r="G33" s="591"/>
      <c r="H33" s="592"/>
    </row>
    <row r="34" spans="1:9">
      <c r="A34" s="152"/>
      <c r="H34" s="154"/>
    </row>
    <row r="35" spans="1:9" ht="45">
      <c r="A35" s="353" t="s">
        <v>567</v>
      </c>
      <c r="B35" s="354" t="s">
        <v>568</v>
      </c>
      <c r="C35" s="356" t="s">
        <v>726</v>
      </c>
      <c r="D35" s="356" t="s">
        <v>569</v>
      </c>
      <c r="E35" s="355" t="s">
        <v>571</v>
      </c>
      <c r="F35" s="456" t="s">
        <v>728</v>
      </c>
      <c r="G35" s="456" t="s">
        <v>587</v>
      </c>
      <c r="H35" s="357" t="s">
        <v>105</v>
      </c>
    </row>
    <row r="36" spans="1:9">
      <c r="A36" s="343"/>
      <c r="B36" s="344"/>
      <c r="C36" s="345"/>
      <c r="D36" s="346"/>
      <c r="E36" s="391" t="s">
        <v>600</v>
      </c>
      <c r="F36" s="511"/>
      <c r="G36" s="511"/>
      <c r="H36" s="347"/>
    </row>
    <row r="37" spans="1:9" ht="15.75" thickBot="1">
      <c r="A37" s="348" t="s">
        <v>572</v>
      </c>
      <c r="B37" s="349">
        <v>1</v>
      </c>
      <c r="C37" s="349">
        <f>B62*SUM('Master Tab'!C9:C10)</f>
        <v>68</v>
      </c>
      <c r="D37" s="350">
        <f>C37*B63</f>
        <v>204</v>
      </c>
      <c r="E37" s="364">
        <v>58.8645</v>
      </c>
      <c r="F37" s="364">
        <f>E37*D37</f>
        <v>12008.358</v>
      </c>
      <c r="G37" s="364">
        <f>B64*'Cost of Ownership Calculation'!K6*C37</f>
        <v>142966.6</v>
      </c>
      <c r="H37" s="364">
        <f>F37+G37</f>
        <v>154974.95800000001</v>
      </c>
    </row>
    <row r="38" spans="1:9" ht="15.75" thickBot="1">
      <c r="A38" s="574"/>
      <c r="B38" s="575"/>
      <c r="C38" s="576"/>
      <c r="D38" s="363">
        <f>SUM(D36:D37)</f>
        <v>204</v>
      </c>
      <c r="E38" s="365" t="s">
        <v>586</v>
      </c>
      <c r="F38" s="365"/>
      <c r="G38" s="365"/>
      <c r="H38" s="365">
        <f>SUM(H36:H37)</f>
        <v>154974.95800000001</v>
      </c>
    </row>
    <row r="39" spans="1:9" ht="30.75" thickBot="1">
      <c r="A39" s="577"/>
      <c r="B39" s="578"/>
      <c r="C39" s="579"/>
      <c r="D39" s="366" t="s">
        <v>570</v>
      </c>
      <c r="E39" s="362"/>
      <c r="F39" s="362"/>
      <c r="G39" s="362"/>
      <c r="H39" s="361"/>
    </row>
    <row r="42" spans="1:9" ht="15.95" customHeight="1"/>
    <row r="43" spans="1:9">
      <c r="A43" s="177"/>
      <c r="B43" s="177"/>
      <c r="C43" s="177"/>
    </row>
    <row r="44" spans="1:9" ht="30">
      <c r="A44" s="469" t="s">
        <v>591</v>
      </c>
      <c r="B44" s="512" t="s">
        <v>592</v>
      </c>
      <c r="C44" s="177"/>
    </row>
    <row r="45" spans="1:9">
      <c r="A45" s="470">
        <v>0.25</v>
      </c>
      <c r="B45" s="468">
        <v>0.5</v>
      </c>
      <c r="C45" s="177"/>
    </row>
    <row r="46" spans="1:9">
      <c r="A46" s="470">
        <v>0.5</v>
      </c>
      <c r="B46" s="468">
        <v>0.5</v>
      </c>
      <c r="C46" s="177"/>
    </row>
    <row r="47" spans="1:9" ht="15.75" thickBot="1">
      <c r="A47" s="470">
        <v>0.75</v>
      </c>
      <c r="B47" s="468">
        <v>1</v>
      </c>
      <c r="C47" s="177"/>
    </row>
    <row r="48" spans="1:9" ht="30.75" thickBot="1">
      <c r="A48" s="358" t="s">
        <v>701</v>
      </c>
      <c r="B48" s="473">
        <f>SUM(B45:B47)</f>
        <v>2</v>
      </c>
      <c r="C48" s="177"/>
      <c r="H48" s="467"/>
      <c r="I48" s="467"/>
    </row>
    <row r="49" spans="1:10">
      <c r="A49" s="390"/>
      <c r="B49" s="390"/>
      <c r="C49" s="390"/>
      <c r="D49" s="390"/>
      <c r="E49" s="390"/>
      <c r="F49" s="390"/>
      <c r="G49" s="390"/>
      <c r="H49" s="390"/>
      <c r="I49" s="390"/>
    </row>
    <row r="50" spans="1:10">
      <c r="A50" s="390"/>
      <c r="B50" s="390"/>
      <c r="C50" s="390"/>
      <c r="D50" s="390"/>
      <c r="E50" s="390"/>
      <c r="F50" s="390"/>
      <c r="G50" s="390"/>
      <c r="H50" s="390"/>
      <c r="I50" s="390"/>
      <c r="J50" s="177"/>
    </row>
    <row r="51" spans="1:10" ht="15.75" thickBot="1">
      <c r="C51" s="177"/>
      <c r="D51" s="177"/>
      <c r="E51" s="177"/>
      <c r="F51" s="177"/>
      <c r="G51" s="177"/>
      <c r="H51" s="177"/>
    </row>
    <row r="52" spans="1:10" ht="30.75" thickBot="1">
      <c r="A52" s="358" t="s">
        <v>702</v>
      </c>
      <c r="B52" s="472">
        <v>2</v>
      </c>
    </row>
    <row r="53" spans="1:10" ht="30.75" thickBot="1">
      <c r="A53" s="358" t="s">
        <v>703</v>
      </c>
      <c r="B53" s="473">
        <f ca="1">SUM('Dynamic Tracking Chart'!G21:G23,'Dynamic Tracking Chart'!G27:G28)</f>
        <v>1094</v>
      </c>
    </row>
    <row r="54" spans="1:10" ht="30.75" thickBot="1">
      <c r="A54" s="358" t="s">
        <v>704</v>
      </c>
      <c r="B54" s="474">
        <f ca="1">B53*B52*B48</f>
        <v>4376</v>
      </c>
    </row>
    <row r="55" spans="1:10" ht="15.75" thickBot="1">
      <c r="A55" s="358" t="s">
        <v>705</v>
      </c>
      <c r="B55" s="471">
        <f ca="1">B54/'Dynamic Tracking Chart'!J6</f>
        <v>64.352941176470594</v>
      </c>
    </row>
    <row r="57" spans="1:10" ht="15.75" thickBot="1"/>
    <row r="58" spans="1:10" ht="30.75" thickBot="1">
      <c r="A58" s="358" t="s">
        <v>742</v>
      </c>
      <c r="B58" s="382">
        <v>500</v>
      </c>
    </row>
    <row r="59" spans="1:10" ht="15.75" thickBot="1">
      <c r="A59" s="358" t="s">
        <v>706</v>
      </c>
      <c r="B59" s="471">
        <f ca="1">B58/B55</f>
        <v>7.7696526508226684</v>
      </c>
    </row>
    <row r="60" spans="1:10" ht="30.75" thickBot="1">
      <c r="A60" s="514" t="s">
        <v>745</v>
      </c>
      <c r="B60" s="473">
        <f ca="1">ROUNDDOWN(B59,0)</f>
        <v>7</v>
      </c>
    </row>
    <row r="61" spans="1:10" ht="15.75" thickBot="1"/>
    <row r="62" spans="1:10" ht="30.75" thickBot="1">
      <c r="A62" s="358" t="s">
        <v>743</v>
      </c>
      <c r="B62" s="520">
        <v>1</v>
      </c>
    </row>
    <row r="63" spans="1:10" ht="30.75" thickBot="1">
      <c r="A63" s="358" t="s">
        <v>574</v>
      </c>
      <c r="B63" s="367">
        <f>3</f>
        <v>3</v>
      </c>
    </row>
    <row r="64" spans="1:10" ht="30.75" thickBot="1">
      <c r="A64" s="358" t="s">
        <v>744</v>
      </c>
      <c r="B64" s="367">
        <v>0.1</v>
      </c>
    </row>
    <row r="66" spans="1:2" ht="15.75" thickBot="1"/>
    <row r="67" spans="1:2" ht="30.75" thickBot="1">
      <c r="A67" s="514" t="s">
        <v>748</v>
      </c>
      <c r="B67" s="473">
        <f ca="1">SUM('Dynamic Tracking Chart'!G27:G28)*B52*B48</f>
        <v>1656</v>
      </c>
    </row>
    <row r="68" spans="1:2">
      <c r="A68" s="514" t="s">
        <v>749</v>
      </c>
      <c r="B68" s="287">
        <f ca="1">B67/B54</f>
        <v>0.37842778793418647</v>
      </c>
    </row>
    <row r="69" spans="1:2" ht="15.75" thickBot="1"/>
    <row r="70" spans="1:2" ht="30.75" thickBot="1">
      <c r="A70" s="514" t="s">
        <v>750</v>
      </c>
      <c r="B70" s="371">
        <f ca="1">B68*SUM(H8,F26,H38/B60)</f>
        <v>10757.195810750158</v>
      </c>
    </row>
  </sheetData>
  <mergeCells count="13">
    <mergeCell ref="A38:C39"/>
    <mergeCell ref="A2:H2"/>
    <mergeCell ref="A3:B3"/>
    <mergeCell ref="C3:D3"/>
    <mergeCell ref="E3:H3"/>
    <mergeCell ref="A8:C9"/>
    <mergeCell ref="A26:C27"/>
    <mergeCell ref="A20:F20"/>
    <mergeCell ref="A21:F21"/>
    <mergeCell ref="A32:H32"/>
    <mergeCell ref="A33:B33"/>
    <mergeCell ref="C33:D33"/>
    <mergeCell ref="E33:H33"/>
  </mergeCells>
  <pageMargins left="0.7" right="0.7" top="0.75" bottom="0.75" header="0.3" footer="0.3"/>
  <pageSetup orientation="portrait"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D1634-C306-4ACF-819E-13681BD6A06F}">
  <sheetPr codeName="Sheet35"/>
  <dimension ref="B2:L18"/>
  <sheetViews>
    <sheetView workbookViewId="0">
      <selection activeCell="B22" sqref="B22:D22"/>
    </sheetView>
  </sheetViews>
  <sheetFormatPr defaultRowHeight="15"/>
  <cols>
    <col min="2" max="2" width="28.85546875" bestFit="1" customWidth="1"/>
    <col min="3" max="4" width="12.5703125" hidden="1" customWidth="1"/>
    <col min="6" max="6" width="11.140625" bestFit="1" customWidth="1"/>
    <col min="7" max="7" width="15.140625" bestFit="1" customWidth="1"/>
  </cols>
  <sheetData>
    <row r="2" spans="2:12">
      <c r="B2" t="s">
        <v>682</v>
      </c>
    </row>
    <row r="3" spans="2:12">
      <c r="B3" t="s">
        <v>683</v>
      </c>
      <c r="C3" t="s">
        <v>633</v>
      </c>
      <c r="D3" t="s">
        <v>634</v>
      </c>
      <c r="E3" t="s">
        <v>57</v>
      </c>
      <c r="F3" t="s">
        <v>684</v>
      </c>
      <c r="G3" t="s">
        <v>687</v>
      </c>
      <c r="K3" t="s">
        <v>685</v>
      </c>
      <c r="L3" s="97" t="s">
        <v>686</v>
      </c>
    </row>
    <row r="4" spans="2:12">
      <c r="B4" t="str">
        <f>_xlfn.CONCAT(C4, " to ",D4)</f>
        <v>0 to 5</v>
      </c>
      <c r="C4">
        <v>0</v>
      </c>
      <c r="D4">
        <f t="shared" ref="D4:D16" si="0">C4+5</f>
        <v>5</v>
      </c>
      <c r="E4">
        <v>61</v>
      </c>
      <c r="F4" s="287">
        <f t="shared" ref="F4:F17" si="1">E4/$E$18</f>
        <v>0.35260115606936415</v>
      </c>
      <c r="G4" s="287">
        <f>E4/SUM($E$4:$E$8)</f>
        <v>0.4236111111111111</v>
      </c>
    </row>
    <row r="5" spans="2:12">
      <c r="B5" t="str">
        <f t="shared" ref="B5:B17" si="2">_xlfn.CONCAT(C5, " to ",D5)</f>
        <v>5 to 10</v>
      </c>
      <c r="C5">
        <f t="shared" ref="C5:C16" si="3">D4</f>
        <v>5</v>
      </c>
      <c r="D5">
        <f t="shared" si="0"/>
        <v>10</v>
      </c>
      <c r="E5">
        <v>27</v>
      </c>
      <c r="F5" s="287">
        <f t="shared" si="1"/>
        <v>0.15606936416184972</v>
      </c>
      <c r="G5" s="287">
        <f t="shared" ref="G5:G8" si="4">E5/SUM($E$4:$E$8)</f>
        <v>0.1875</v>
      </c>
    </row>
    <row r="6" spans="2:12">
      <c r="B6" t="str">
        <f t="shared" si="2"/>
        <v>10 to 15</v>
      </c>
      <c r="C6">
        <f t="shared" si="3"/>
        <v>10</v>
      </c>
      <c r="D6">
        <f t="shared" si="0"/>
        <v>15</v>
      </c>
      <c r="E6">
        <v>29</v>
      </c>
      <c r="F6" s="287">
        <f t="shared" si="1"/>
        <v>0.16763005780346821</v>
      </c>
      <c r="G6" s="287">
        <f t="shared" si="4"/>
        <v>0.2013888888888889</v>
      </c>
    </row>
    <row r="7" spans="2:12">
      <c r="B7" t="str">
        <f t="shared" si="2"/>
        <v>15 to 20</v>
      </c>
      <c r="C7">
        <f t="shared" si="3"/>
        <v>15</v>
      </c>
      <c r="D7">
        <f t="shared" si="0"/>
        <v>20</v>
      </c>
      <c r="E7">
        <v>18</v>
      </c>
      <c r="F7" s="287">
        <f t="shared" si="1"/>
        <v>0.10404624277456648</v>
      </c>
      <c r="G7" s="287">
        <f t="shared" si="4"/>
        <v>0.125</v>
      </c>
    </row>
    <row r="8" spans="2:12">
      <c r="B8" t="str">
        <f t="shared" si="2"/>
        <v>20 to 25</v>
      </c>
      <c r="C8">
        <f t="shared" si="3"/>
        <v>20</v>
      </c>
      <c r="D8">
        <f t="shared" si="0"/>
        <v>25</v>
      </c>
      <c r="E8">
        <v>9</v>
      </c>
      <c r="F8" s="287">
        <f t="shared" si="1"/>
        <v>5.2023121387283239E-2</v>
      </c>
      <c r="G8" s="287">
        <f t="shared" si="4"/>
        <v>6.25E-2</v>
      </c>
    </row>
    <row r="9" spans="2:12">
      <c r="B9" t="str">
        <f t="shared" si="2"/>
        <v>25 to 30</v>
      </c>
      <c r="C9">
        <f t="shared" si="3"/>
        <v>25</v>
      </c>
      <c r="D9">
        <f t="shared" si="0"/>
        <v>30</v>
      </c>
      <c r="E9">
        <v>6</v>
      </c>
      <c r="F9" s="287">
        <f t="shared" si="1"/>
        <v>3.4682080924855488E-2</v>
      </c>
    </row>
    <row r="10" spans="2:12">
      <c r="B10" t="str">
        <f t="shared" si="2"/>
        <v>30 to 35</v>
      </c>
      <c r="C10">
        <f t="shared" si="3"/>
        <v>30</v>
      </c>
      <c r="D10">
        <f t="shared" si="0"/>
        <v>35</v>
      </c>
      <c r="E10">
        <v>3</v>
      </c>
      <c r="F10" s="287">
        <f t="shared" si="1"/>
        <v>1.7341040462427744E-2</v>
      </c>
    </row>
    <row r="11" spans="2:12">
      <c r="B11" t="str">
        <f t="shared" si="2"/>
        <v>35 to 40</v>
      </c>
      <c r="C11">
        <f t="shared" si="3"/>
        <v>35</v>
      </c>
      <c r="D11">
        <f t="shared" si="0"/>
        <v>40</v>
      </c>
      <c r="E11">
        <v>1</v>
      </c>
      <c r="F11" s="287">
        <f t="shared" si="1"/>
        <v>5.7803468208092483E-3</v>
      </c>
    </row>
    <row r="12" spans="2:12">
      <c r="B12" t="str">
        <f t="shared" si="2"/>
        <v>40 to 45</v>
      </c>
      <c r="C12">
        <f t="shared" si="3"/>
        <v>40</v>
      </c>
      <c r="D12">
        <f t="shared" si="0"/>
        <v>45</v>
      </c>
      <c r="E12">
        <v>1</v>
      </c>
      <c r="F12" s="287">
        <f t="shared" si="1"/>
        <v>5.7803468208092483E-3</v>
      </c>
    </row>
    <row r="13" spans="2:12">
      <c r="B13" t="str">
        <f t="shared" si="2"/>
        <v>45 to 50</v>
      </c>
      <c r="C13">
        <f t="shared" si="3"/>
        <v>45</v>
      </c>
      <c r="D13">
        <f t="shared" si="0"/>
        <v>50</v>
      </c>
      <c r="E13">
        <v>1</v>
      </c>
      <c r="F13" s="287">
        <f t="shared" si="1"/>
        <v>5.7803468208092483E-3</v>
      </c>
    </row>
    <row r="14" spans="2:12">
      <c r="B14" t="str">
        <f t="shared" si="2"/>
        <v>50 to 55</v>
      </c>
      <c r="C14">
        <f t="shared" si="3"/>
        <v>50</v>
      </c>
      <c r="D14">
        <f t="shared" si="0"/>
        <v>55</v>
      </c>
      <c r="E14">
        <v>7</v>
      </c>
      <c r="F14" s="287">
        <f t="shared" si="1"/>
        <v>4.046242774566474E-2</v>
      </c>
    </row>
    <row r="15" spans="2:12">
      <c r="B15" t="str">
        <f t="shared" si="2"/>
        <v>55 to 60</v>
      </c>
      <c r="C15">
        <f t="shared" si="3"/>
        <v>55</v>
      </c>
      <c r="D15">
        <f t="shared" si="0"/>
        <v>60</v>
      </c>
      <c r="E15">
        <v>0</v>
      </c>
      <c r="F15" s="287">
        <f t="shared" si="1"/>
        <v>0</v>
      </c>
    </row>
    <row r="16" spans="2:12">
      <c r="B16" t="str">
        <f t="shared" si="2"/>
        <v>60 to 65</v>
      </c>
      <c r="C16">
        <f t="shared" si="3"/>
        <v>60</v>
      </c>
      <c r="D16">
        <f t="shared" si="0"/>
        <v>65</v>
      </c>
      <c r="E16">
        <v>3</v>
      </c>
      <c r="F16" s="287">
        <f t="shared" si="1"/>
        <v>1.7341040462427744E-2</v>
      </c>
    </row>
    <row r="17" spans="2:6">
      <c r="B17" t="str">
        <f t="shared" si="2"/>
        <v>65 to 160</v>
      </c>
      <c r="C17">
        <f>D16</f>
        <v>65</v>
      </c>
      <c r="D17">
        <v>160</v>
      </c>
      <c r="E17">
        <v>7</v>
      </c>
      <c r="F17" s="287">
        <f t="shared" si="1"/>
        <v>4.046242774566474E-2</v>
      </c>
    </row>
    <row r="18" spans="2:6">
      <c r="B18" t="s">
        <v>8</v>
      </c>
      <c r="E18">
        <v>173</v>
      </c>
    </row>
  </sheetData>
  <hyperlinks>
    <hyperlink ref="L3" r:id="rId1" xr:uid="{39AC3B77-E0E1-4CEA-BEC6-0E464173ED41}"/>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9A9E5-1573-4154-9B61-315178E6BADD}">
  <sheetPr codeName="Sheet15"/>
  <dimension ref="A3:F10"/>
  <sheetViews>
    <sheetView workbookViewId="0">
      <selection activeCell="D5" sqref="D5"/>
    </sheetView>
  </sheetViews>
  <sheetFormatPr defaultRowHeight="15"/>
  <cols>
    <col min="2" max="2" width="15.140625" bestFit="1" customWidth="1"/>
    <col min="3" max="3" width="11.7109375" bestFit="1" customWidth="1"/>
    <col min="4" max="4" width="13.7109375" bestFit="1" customWidth="1"/>
  </cols>
  <sheetData>
    <row r="3" spans="1:6">
      <c r="A3" t="s">
        <v>361</v>
      </c>
      <c r="B3" s="268">
        <v>1</v>
      </c>
      <c r="C3" t="s">
        <v>362</v>
      </c>
      <c r="D3" s="269" cm="1">
        <f t="array" ref="D3">Lastmodified('Cash Flow Analysis'!C12)</f>
        <v>44670.572129629632</v>
      </c>
      <c r="F3">
        <f>IF(D3&gt;D4,B3,B4)</f>
        <v>1</v>
      </c>
    </row>
    <row r="4" spans="1:6">
      <c r="A4" t="s">
        <v>361</v>
      </c>
      <c r="B4">
        <v>1</v>
      </c>
      <c r="C4" t="s">
        <v>362</v>
      </c>
      <c r="D4" s="269" cm="1">
        <f t="array" ref="D4">Lastmodified('IS Analysis'!C12)</f>
        <v>44670.558344907404</v>
      </c>
    </row>
    <row r="10" spans="1:6">
      <c r="A10" t="s">
        <v>722</v>
      </c>
      <c r="B10" s="506">
        <v>45291</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6EA9C-8171-48B8-91F3-8D4A349F693B}">
  <sheetPr codeName="Sheet25"/>
  <dimension ref="A1:F51"/>
  <sheetViews>
    <sheetView workbookViewId="0">
      <selection activeCell="B22" sqref="B22:D22"/>
    </sheetView>
  </sheetViews>
  <sheetFormatPr defaultRowHeight="15"/>
  <cols>
    <col min="1" max="1" width="22.28515625" bestFit="1" customWidth="1"/>
    <col min="2" max="2" width="17.42578125" bestFit="1" customWidth="1"/>
    <col min="3" max="3" width="15.140625" bestFit="1" customWidth="1"/>
    <col min="5" max="5" width="22.85546875" bestFit="1" customWidth="1"/>
    <col min="6" max="6" width="11.7109375" bestFit="1" customWidth="1"/>
  </cols>
  <sheetData>
    <row r="1" spans="1:6" ht="15.75" thickBot="1"/>
    <row r="2" spans="1:6">
      <c r="A2" s="585" t="s">
        <v>575</v>
      </c>
      <c r="B2" s="586"/>
      <c r="C2" s="586"/>
      <c r="D2" s="586"/>
      <c r="E2" s="586"/>
      <c r="F2" s="588"/>
    </row>
    <row r="3" spans="1:6">
      <c r="A3" s="583"/>
      <c r="B3" s="584"/>
      <c r="C3" s="589"/>
      <c r="D3" s="590"/>
      <c r="E3" s="591"/>
      <c r="F3" s="592"/>
    </row>
    <row r="4" spans="1:6">
      <c r="A4" s="152"/>
      <c r="F4" s="154"/>
    </row>
    <row r="5" spans="1:6" ht="30">
      <c r="A5" s="353" t="s">
        <v>567</v>
      </c>
      <c r="B5" s="354" t="s">
        <v>568</v>
      </c>
      <c r="C5" s="355" t="s">
        <v>573</v>
      </c>
      <c r="D5" s="356" t="s">
        <v>569</v>
      </c>
      <c r="E5" s="355" t="s">
        <v>571</v>
      </c>
      <c r="F5" s="357" t="s">
        <v>105</v>
      </c>
    </row>
    <row r="6" spans="1:6">
      <c r="A6" s="343"/>
      <c r="B6" s="344"/>
      <c r="C6" s="345"/>
      <c r="D6" s="346"/>
      <c r="E6" s="391" t="s">
        <v>600</v>
      </c>
      <c r="F6" s="347"/>
    </row>
    <row r="7" spans="1:6" ht="15.75" thickBot="1">
      <c r="A7" s="348" t="s">
        <v>572</v>
      </c>
      <c r="B7" s="349">
        <v>1</v>
      </c>
      <c r="C7" s="349">
        <f>SUM('Master Tab'!C9:C10)</f>
        <v>68</v>
      </c>
      <c r="D7" s="350">
        <f>C7*B14</f>
        <v>136</v>
      </c>
      <c r="E7" s="364">
        <v>58.8645</v>
      </c>
      <c r="F7" s="364">
        <f>E7*D7</f>
        <v>8005.5720000000001</v>
      </c>
    </row>
    <row r="8" spans="1:6" ht="15.75" thickBot="1">
      <c r="A8" s="574"/>
      <c r="B8" s="575"/>
      <c r="C8" s="576"/>
      <c r="D8" s="363">
        <f>SUM(D6:D7)</f>
        <v>136</v>
      </c>
      <c r="E8" s="365" t="s">
        <v>586</v>
      </c>
      <c r="F8" s="365">
        <f>SUM(F6:F7)</f>
        <v>8005.5720000000001</v>
      </c>
    </row>
    <row r="9" spans="1:6" ht="15.75" thickBot="1">
      <c r="A9" s="577"/>
      <c r="B9" s="578"/>
      <c r="C9" s="579"/>
      <c r="D9" s="366" t="s">
        <v>570</v>
      </c>
      <c r="E9" s="362"/>
      <c r="F9" s="361"/>
    </row>
    <row r="10" spans="1:6">
      <c r="A10" s="351"/>
      <c r="B10" s="352"/>
      <c r="C10" s="352"/>
      <c r="D10" s="359"/>
      <c r="E10" s="362"/>
      <c r="F10" s="361"/>
    </row>
    <row r="11" spans="1:6" ht="15.75" thickBot="1">
      <c r="A11" s="152"/>
      <c r="D11" s="360"/>
      <c r="E11" s="362"/>
      <c r="F11" s="361"/>
    </row>
    <row r="12" spans="1:6" ht="30.75" thickBot="1">
      <c r="E12" s="380" t="s">
        <v>590</v>
      </c>
      <c r="F12" s="365">
        <f>F8+F24+F48</f>
        <v>19131.902000000002</v>
      </c>
    </row>
    <row r="13" spans="1:6" ht="15.75" thickBot="1"/>
    <row r="14" spans="1:6" ht="30.75" thickBot="1">
      <c r="A14" s="358" t="s">
        <v>574</v>
      </c>
      <c r="B14" s="367">
        <f>0.5+0.5+1</f>
        <v>2</v>
      </c>
    </row>
    <row r="18" spans="1:6" ht="15.75" thickBot="1"/>
    <row r="19" spans="1:6">
      <c r="A19" s="585" t="s">
        <v>576</v>
      </c>
      <c r="B19" s="586"/>
      <c r="C19" s="586"/>
      <c r="D19" s="586"/>
      <c r="E19" s="586"/>
      <c r="F19" s="588"/>
    </row>
    <row r="20" spans="1:6">
      <c r="A20" s="583"/>
      <c r="B20" s="584"/>
      <c r="C20" s="589"/>
      <c r="D20" s="590"/>
      <c r="E20" s="591"/>
      <c r="F20" s="592"/>
    </row>
    <row r="21" spans="1:6">
      <c r="A21" s="152"/>
      <c r="F21" s="154"/>
    </row>
    <row r="22" spans="1:6" ht="30" customHeight="1">
      <c r="A22" s="353" t="s">
        <v>580</v>
      </c>
      <c r="B22" s="600" t="s">
        <v>584</v>
      </c>
      <c r="C22" s="601"/>
      <c r="D22" s="602"/>
      <c r="E22" s="355" t="s">
        <v>583</v>
      </c>
      <c r="F22" s="357" t="s">
        <v>105</v>
      </c>
    </row>
    <row r="23" spans="1:6" ht="15.75" thickBot="1">
      <c r="A23" s="370">
        <f>C7</f>
        <v>68</v>
      </c>
      <c r="B23" s="603">
        <f>A23*B30</f>
        <v>6.8000000000000007</v>
      </c>
      <c r="C23" s="604"/>
      <c r="D23" s="605"/>
      <c r="E23" s="364">
        <f>B35</f>
        <v>1051.2250000000001</v>
      </c>
      <c r="F23" s="364">
        <f>E23*B23</f>
        <v>7148.3300000000017</v>
      </c>
    </row>
    <row r="24" spans="1:6" ht="15.75" thickBot="1">
      <c r="A24" s="574"/>
      <c r="B24" s="575"/>
      <c r="C24" s="576"/>
      <c r="D24" s="363"/>
      <c r="E24" s="365" t="s">
        <v>585</v>
      </c>
      <c r="F24" s="365">
        <f>SUM(F23:F23)</f>
        <v>7148.3300000000017</v>
      </c>
    </row>
    <row r="25" spans="1:6" ht="15.75" thickBot="1">
      <c r="A25" s="577"/>
      <c r="B25" s="578"/>
      <c r="C25" s="579"/>
      <c r="D25" s="359"/>
      <c r="E25" s="599"/>
      <c r="F25" s="361"/>
    </row>
    <row r="26" spans="1:6">
      <c r="A26" s="351"/>
      <c r="B26" s="352"/>
      <c r="C26" s="352"/>
      <c r="D26" s="359"/>
      <c r="E26" s="599"/>
      <c r="F26" s="361"/>
    </row>
    <row r="27" spans="1:6">
      <c r="A27" s="152"/>
      <c r="D27" s="360"/>
      <c r="E27" s="362"/>
      <c r="F27" s="361"/>
    </row>
    <row r="28" spans="1:6">
      <c r="E28" s="177"/>
      <c r="F28" s="177"/>
    </row>
    <row r="29" spans="1:6" ht="15.75" thickBot="1"/>
    <row r="30" spans="1:6" ht="30.75" thickBot="1">
      <c r="A30" s="358" t="s">
        <v>577</v>
      </c>
      <c r="B30" s="368">
        <v>0.1</v>
      </c>
    </row>
    <row r="31" spans="1:6" ht="15.75" thickBot="1"/>
    <row r="32" spans="1:6" ht="30.75" thickBot="1">
      <c r="A32" s="358" t="s">
        <v>578</v>
      </c>
      <c r="B32" s="369">
        <v>0.05</v>
      </c>
    </row>
    <row r="33" spans="1:6" ht="15.75" thickBot="1"/>
    <row r="34" spans="1:6" ht="15.75" thickBot="1">
      <c r="A34" s="358" t="s">
        <v>581</v>
      </c>
      <c r="B34" s="371">
        <f>'Cost of Ownership Calculation'!K6</f>
        <v>21024.5</v>
      </c>
    </row>
    <row r="35" spans="1:6" ht="30.75" thickBot="1">
      <c r="A35" s="358" t="s">
        <v>582</v>
      </c>
      <c r="B35" s="371">
        <f>B34*B32</f>
        <v>1051.2250000000001</v>
      </c>
    </row>
    <row r="38" spans="1:6" ht="15.75" thickBot="1"/>
    <row r="39" spans="1:6">
      <c r="A39" s="585" t="s">
        <v>599</v>
      </c>
      <c r="B39" s="586"/>
      <c r="C39" s="586"/>
      <c r="D39" s="586"/>
      <c r="E39" s="586"/>
      <c r="F39" s="588"/>
    </row>
    <row r="40" spans="1:6">
      <c r="A40" s="583"/>
      <c r="B40" s="584"/>
      <c r="C40" s="589"/>
      <c r="D40" s="590"/>
      <c r="E40" s="591"/>
      <c r="F40" s="592"/>
    </row>
    <row r="41" spans="1:6">
      <c r="A41" s="152"/>
      <c r="B41" s="177"/>
      <c r="C41" s="177"/>
      <c r="D41" s="177"/>
      <c r="E41" s="177"/>
      <c r="F41" s="154"/>
    </row>
    <row r="42" spans="1:6">
      <c r="A42" s="353" t="s">
        <v>592</v>
      </c>
      <c r="B42" s="354" t="s">
        <v>591</v>
      </c>
      <c r="C42" s="597" t="s">
        <v>593</v>
      </c>
      <c r="D42" s="598"/>
      <c r="E42" s="355" t="s">
        <v>598</v>
      </c>
      <c r="F42" s="357" t="s">
        <v>105</v>
      </c>
    </row>
    <row r="43" spans="1:6">
      <c r="A43" s="387">
        <v>0.5</v>
      </c>
      <c r="B43" s="381">
        <v>0.25</v>
      </c>
      <c r="C43" s="593">
        <f>B43*$B$50</f>
        <v>100</v>
      </c>
      <c r="D43" s="594"/>
      <c r="E43" s="383">
        <f>C43*A43</f>
        <v>50</v>
      </c>
      <c r="F43" s="347">
        <f>E43*$B$51</f>
        <v>6.5</v>
      </c>
    </row>
    <row r="44" spans="1:6">
      <c r="A44" s="387">
        <v>0.5</v>
      </c>
      <c r="B44" s="381">
        <v>0.5</v>
      </c>
      <c r="C44" s="593">
        <f t="shared" ref="C44:C45" si="0">B44*$B$50</f>
        <v>200</v>
      </c>
      <c r="D44" s="594"/>
      <c r="E44" s="384">
        <f t="shared" ref="E44:E45" si="1">C44*A44</f>
        <v>100</v>
      </c>
      <c r="F44" s="388">
        <f t="shared" ref="F44:F45" si="2">E44*$B$51</f>
        <v>13</v>
      </c>
    </row>
    <row r="45" spans="1:6" ht="15.75" thickBot="1">
      <c r="A45" s="387">
        <v>1</v>
      </c>
      <c r="B45" s="381">
        <v>0.75</v>
      </c>
      <c r="C45" s="595">
        <f t="shared" si="0"/>
        <v>300</v>
      </c>
      <c r="D45" s="596"/>
      <c r="E45" s="385">
        <f t="shared" si="1"/>
        <v>300</v>
      </c>
      <c r="F45" s="389">
        <f t="shared" si="2"/>
        <v>39</v>
      </c>
    </row>
    <row r="46" spans="1:6" ht="15.75" thickBot="1">
      <c r="A46" s="375"/>
      <c r="B46" s="390"/>
      <c r="C46" s="376"/>
      <c r="D46" s="363"/>
      <c r="E46" s="365" t="s">
        <v>596</v>
      </c>
      <c r="F46" s="365">
        <f>SUM(F43:F45)</f>
        <v>58.5</v>
      </c>
    </row>
    <row r="47" spans="1:6" ht="15.75" thickBot="1">
      <c r="A47" s="377"/>
      <c r="B47" s="378"/>
      <c r="C47" s="379"/>
      <c r="D47" s="366"/>
      <c r="E47" s="365" t="s">
        <v>579</v>
      </c>
      <c r="F47" s="365">
        <f>C7</f>
        <v>68</v>
      </c>
    </row>
    <row r="48" spans="1:6" ht="15.75" thickBot="1">
      <c r="E48" s="365" t="s">
        <v>597</v>
      </c>
      <c r="F48" s="365">
        <f>F47*F46</f>
        <v>3978</v>
      </c>
    </row>
    <row r="49" spans="1:2" ht="15.75" thickBot="1"/>
    <row r="50" spans="1:2" ht="15.75" thickBot="1">
      <c r="A50" s="358" t="s">
        <v>594</v>
      </c>
      <c r="B50" s="382">
        <v>400</v>
      </c>
    </row>
    <row r="51" spans="1:2" ht="15.75" thickBot="1">
      <c r="A51" s="358" t="s">
        <v>595</v>
      </c>
      <c r="B51" s="386">
        <v>0.13</v>
      </c>
    </row>
  </sheetData>
  <mergeCells count="21">
    <mergeCell ref="A2:F2"/>
    <mergeCell ref="A3:B3"/>
    <mergeCell ref="C3:D3"/>
    <mergeCell ref="E3:F3"/>
    <mergeCell ref="A8:C9"/>
    <mergeCell ref="A19:F19"/>
    <mergeCell ref="A20:B20"/>
    <mergeCell ref="C20:D20"/>
    <mergeCell ref="E20:F20"/>
    <mergeCell ref="A24:C25"/>
    <mergeCell ref="E25:E26"/>
    <mergeCell ref="B22:D22"/>
    <mergeCell ref="B23:D23"/>
    <mergeCell ref="A39:F39"/>
    <mergeCell ref="C44:D44"/>
    <mergeCell ref="C45:D45"/>
    <mergeCell ref="A40:B40"/>
    <mergeCell ref="C40:D40"/>
    <mergeCell ref="E40:F40"/>
    <mergeCell ref="C42:D42"/>
    <mergeCell ref="C43:D43"/>
  </mergeCell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8FAA-BA6E-47EA-B881-779B2C885F68}">
  <sheetPr codeName="Sheet22"/>
  <dimension ref="A1:Y51"/>
  <sheetViews>
    <sheetView topLeftCell="A10" workbookViewId="0">
      <selection activeCell="B40" sqref="B40"/>
    </sheetView>
  </sheetViews>
  <sheetFormatPr defaultRowHeight="15" outlineLevelCol="1"/>
  <cols>
    <col min="1" max="1" width="33.42578125" bestFit="1" customWidth="1"/>
    <col min="2" max="2" width="19.42578125" customWidth="1"/>
    <col min="3" max="3" width="14.85546875" bestFit="1" customWidth="1"/>
    <col min="4" max="4" width="16.42578125" bestFit="1" customWidth="1"/>
    <col min="5" max="5" width="7" bestFit="1" customWidth="1"/>
    <col min="6" max="6" width="19.42578125" customWidth="1"/>
    <col min="7" max="7" width="24.85546875" bestFit="1" customWidth="1"/>
    <col min="8" max="8" width="32.85546875" bestFit="1" customWidth="1"/>
    <col min="9" max="9" width="14" bestFit="1" customWidth="1"/>
    <col min="10" max="10" width="14" customWidth="1"/>
    <col min="11" max="11" width="7.7109375" bestFit="1" customWidth="1"/>
    <col min="12" max="13" width="25.7109375" customWidth="1"/>
    <col min="14" max="14" width="38.140625" bestFit="1" customWidth="1"/>
    <col min="15" max="15" width="10" bestFit="1" customWidth="1"/>
    <col min="16" max="16" width="11.7109375" bestFit="1" customWidth="1"/>
    <col min="17" max="17" width="15.85546875" bestFit="1" customWidth="1"/>
    <col min="18" max="21" width="15.85546875" hidden="1" customWidth="1" outlineLevel="1"/>
    <col min="22" max="22" width="20.7109375" bestFit="1" customWidth="1" collapsed="1"/>
    <col min="23" max="24" width="20.7109375" customWidth="1"/>
    <col min="25" max="26" width="12.5703125" bestFit="1" customWidth="1"/>
    <col min="27" max="27" width="13.140625" bestFit="1" customWidth="1"/>
    <col min="28" max="29" width="19.42578125" customWidth="1"/>
    <col min="30" max="30" width="16.85546875" customWidth="1"/>
    <col min="31" max="31" width="20.28515625" bestFit="1" customWidth="1"/>
    <col min="32" max="32" width="33.42578125" bestFit="1" customWidth="1"/>
  </cols>
  <sheetData>
    <row r="1" spans="1:25">
      <c r="A1" s="193" t="s">
        <v>230</v>
      </c>
      <c r="B1" s="192" t="s">
        <v>231</v>
      </c>
    </row>
    <row r="2" spans="1:25" ht="15.75" thickBot="1">
      <c r="A2" s="9"/>
      <c r="B2" s="98"/>
      <c r="C2" s="98"/>
      <c r="D2" s="98"/>
      <c r="E2" s="98"/>
      <c r="F2" s="98"/>
      <c r="G2" s="98"/>
      <c r="H2" s="98"/>
      <c r="I2" s="98"/>
      <c r="J2" s="98"/>
      <c r="K2" s="98"/>
      <c r="N2" t="s">
        <v>511</v>
      </c>
    </row>
    <row r="3" spans="1:25">
      <c r="A3" s="9" t="s">
        <v>170</v>
      </c>
      <c r="B3" s="98"/>
      <c r="C3" s="98"/>
      <c r="D3" s="98"/>
      <c r="E3" s="98"/>
      <c r="F3" s="98"/>
      <c r="G3" s="9" t="s">
        <v>170</v>
      </c>
      <c r="H3" s="98"/>
      <c r="I3" s="98"/>
      <c r="J3" s="98"/>
      <c r="K3" s="98"/>
      <c r="N3" s="317" t="s">
        <v>492</v>
      </c>
      <c r="O3" s="318" t="s">
        <v>493</v>
      </c>
      <c r="P3" s="318" t="s">
        <v>499</v>
      </c>
      <c r="Q3" s="318" t="s">
        <v>510</v>
      </c>
      <c r="R3" s="318" t="s">
        <v>561</v>
      </c>
      <c r="S3" s="318" t="s">
        <v>560</v>
      </c>
      <c r="T3" s="318" t="s">
        <v>558</v>
      </c>
      <c r="U3" s="318" t="s">
        <v>559</v>
      </c>
      <c r="V3" s="318" t="s">
        <v>520</v>
      </c>
      <c r="W3" s="318" t="s">
        <v>521</v>
      </c>
      <c r="X3" s="318" t="s">
        <v>522</v>
      </c>
      <c r="Y3" s="163" t="s">
        <v>371</v>
      </c>
    </row>
    <row r="4" spans="1:25">
      <c r="A4" s="194" t="s">
        <v>490</v>
      </c>
      <c r="B4" s="190" t="s">
        <v>498</v>
      </c>
      <c r="C4" s="314" t="s">
        <v>497</v>
      </c>
      <c r="D4" s="314" t="s">
        <v>524</v>
      </c>
      <c r="E4" s="314" t="s">
        <v>124</v>
      </c>
      <c r="F4" s="98"/>
      <c r="G4" s="194" t="s">
        <v>490</v>
      </c>
      <c r="H4" s="106" t="s">
        <v>498</v>
      </c>
      <c r="I4" s="106" t="s">
        <v>497</v>
      </c>
      <c r="J4" s="106" t="s">
        <v>524</v>
      </c>
      <c r="K4" s="106" t="s">
        <v>124</v>
      </c>
      <c r="N4" s="152" t="str">
        <f>'Accessory Needs Breakdown'!A52</f>
        <v>Cable 4/0 AWG 400 Amp 50' CAM</v>
      </c>
      <c r="O4" s="316">
        <f>'Accessory Needs Breakdown'!C52</f>
        <v>5.6279317697228146</v>
      </c>
      <c r="P4" s="315">
        <f>ROUNDUP(SUM('Master Tab'!$C$9:$C$10)*O4,0)</f>
        <v>383</v>
      </c>
      <c r="Q4" s="315">
        <f>IFERROR(VLOOKUP(N4,IF('Cost of Ownership Calculation'!$A$6="ASCO",$H$6:$J$32,$B$6:$D$34),3,FALSE),0)</f>
        <v>0</v>
      </c>
      <c r="R4" s="315">
        <f>P4*S4</f>
        <v>47.875</v>
      </c>
      <c r="S4" s="315">
        <f>_xlfn.MINIFS(T4:U4,T4:U4,"&gt;0")</f>
        <v>0.125</v>
      </c>
      <c r="T4" s="315">
        <f>SUMIFS(IF('Cost of Ownership Calculation'!$A$5="ASCO",$K$5:$K$32,$E$5:$E$34),IF('Cost of Ownership Calculation'!$A$5="ASCO",'Load Bank Pricing Breakdown'!$H$5:$H$32,'Load Bank Pricing Breakdown'!$B$5:$B$34),'Load Bank Pricing Breakdown'!$N4)</f>
        <v>0</v>
      </c>
      <c r="U4" s="315">
        <f>IFERROR(VLOOKUP($N4,'Alternative Accessory Pricing'!$A$3:$C$6,3,FALSE),0)</f>
        <v>0.125</v>
      </c>
      <c r="V4" s="153">
        <f>SUMIFS(IF('Cost of Ownership Calculation'!$A$5="ASCO",'Load Bank Pricing Breakdown'!$I$5:$I$32,'Load Bank Pricing Breakdown'!$C$5:$C$34),IF('Cost of Ownership Calculation'!$A$5="ASCO",'Load Bank Pricing Breakdown'!$H$5:$H$32,'Load Bank Pricing Breakdown'!$B$5:$B$34),'Load Bank Pricing Breakdown'!$N4)</f>
        <v>0</v>
      </c>
      <c r="W4" s="153">
        <f>IFERROR(VLOOKUP($N4,'Alternative Accessory Pricing'!$A$3:$B$6,2,FALSE),0)</f>
        <v>592.47</v>
      </c>
      <c r="X4" s="153">
        <f>_xlfn.MINIFS(V4:W4,V4:W4,"&gt;0")</f>
        <v>592.47</v>
      </c>
      <c r="Y4" s="320">
        <f>(P4-Q4)*X4</f>
        <v>226916.01</v>
      </c>
    </row>
    <row r="5" spans="1:25">
      <c r="A5" s="111" t="s">
        <v>171</v>
      </c>
      <c r="B5" s="108"/>
      <c r="C5" s="108">
        <v>126020</v>
      </c>
      <c r="D5" s="108"/>
      <c r="E5" s="324"/>
      <c r="F5" s="98"/>
      <c r="G5" s="111" t="s">
        <v>171</v>
      </c>
      <c r="H5" s="108"/>
      <c r="I5" s="108">
        <v>131441.5</v>
      </c>
      <c r="J5" s="108"/>
      <c r="K5" s="334"/>
      <c r="N5" s="152" t="str">
        <f>'Accessory Needs Breakdown'!A53</f>
        <v>50' Network Cables</v>
      </c>
      <c r="O5" s="316">
        <f>'Accessory Needs Breakdown'!C53</f>
        <v>0.90490405117270789</v>
      </c>
      <c r="P5" s="315">
        <f>ROUNDUP(SUM('Master Tab'!$C$9:$C$10)*O5,0)</f>
        <v>62</v>
      </c>
      <c r="Q5" s="315">
        <f>IFERROR(VLOOKUP(N5,IF('Cost of Ownership Calculation'!$A$6="ASCO",$H$6:$J$32,$B$6:$D$34),3,FALSE),0)</f>
        <v>0</v>
      </c>
      <c r="R5" s="315">
        <f t="shared" ref="R5:R12" si="0">P5*S5</f>
        <v>4.6499999999999995</v>
      </c>
      <c r="S5" s="315">
        <f t="shared" ref="S5:S12" si="1">_xlfn.MINIFS(T5:U5,T5:U5,"&gt;0")</f>
        <v>7.4999999999999997E-2</v>
      </c>
      <c r="T5" s="315">
        <f>SUMIFS(IF('Cost of Ownership Calculation'!$A$5="ASCO",$K$5:$K$32,$E$5:$E$34),IF('Cost of Ownership Calculation'!$A$5="ASCO",'Load Bank Pricing Breakdown'!$H$5:$H$32,'Load Bank Pricing Breakdown'!$B$5:$B$34),'Load Bank Pricing Breakdown'!$N5)</f>
        <v>7.4999999999999997E-2</v>
      </c>
      <c r="U5" s="315">
        <f>IFERROR(VLOOKUP($N5,'Alternative Accessory Pricing'!$A$3:$C$6,3,FALSE),0)</f>
        <v>0</v>
      </c>
      <c r="V5" s="153">
        <f>SUMIFS(IF('Cost of Ownership Calculation'!$A$5="ASCO",'Load Bank Pricing Breakdown'!$I$5:$I$32,'Load Bank Pricing Breakdown'!$C$5:$C$34),IF('Cost of Ownership Calculation'!$A$5="ASCO",'Load Bank Pricing Breakdown'!$H$5:$H$32,'Load Bank Pricing Breakdown'!$B$5:$B$34),'Load Bank Pricing Breakdown'!N5)</f>
        <v>316.38461538461536</v>
      </c>
      <c r="W5" s="153">
        <f>IFERROR(VLOOKUP(N5,'Alternative Accessory Pricing'!$A$3:$B$6,2,FALSE),0)</f>
        <v>0</v>
      </c>
      <c r="X5" s="153">
        <f>_xlfn.MINIFS(V5:W5,V5:W5,"&gt;0")</f>
        <v>316.38461538461536</v>
      </c>
      <c r="Y5" s="320">
        <f t="shared" ref="Y5:Y12" si="2">(P5-Q5)*X5</f>
        <v>19615.846153846152</v>
      </c>
    </row>
    <row r="6" spans="1:25">
      <c r="A6" s="87" t="s">
        <v>277</v>
      </c>
      <c r="B6" s="108"/>
      <c r="C6" s="108">
        <v>0</v>
      </c>
      <c r="D6" s="108"/>
      <c r="E6" s="324"/>
      <c r="F6" s="98"/>
      <c r="G6" s="87" t="s">
        <v>504</v>
      </c>
      <c r="H6" s="108" t="s">
        <v>471</v>
      </c>
      <c r="I6" s="108">
        <v>0</v>
      </c>
      <c r="J6" s="324">
        <v>1</v>
      </c>
      <c r="K6" s="334">
        <v>1</v>
      </c>
      <c r="N6" s="152" t="str">
        <f>'Accessory Needs Breakdown'!A54</f>
        <v>LDBK REMOTE, TABLET (LBC-HHS1)</v>
      </c>
      <c r="O6" s="316">
        <f>'Accessory Needs Breakdown'!C54</f>
        <v>7.3027718550106605E-2</v>
      </c>
      <c r="P6" s="315">
        <f>ROUNDUP(SUM('Master Tab'!$C$9:$C$10)*O6,0)</f>
        <v>5</v>
      </c>
      <c r="Q6" s="315">
        <f>IFERROR(VLOOKUP(N6,IF('Cost of Ownership Calculation'!$A$6="ASCO",$H$6:$J$32,$B$6:$D$34),3,FALSE),0)</f>
        <v>1</v>
      </c>
      <c r="R6" s="315">
        <f t="shared" si="0"/>
        <v>14.738500000000002</v>
      </c>
      <c r="S6" s="315">
        <f t="shared" si="1"/>
        <v>2.9477000000000002</v>
      </c>
      <c r="T6" s="315">
        <f>SUMIFS(IF('Cost of Ownership Calculation'!$A$5="ASCO",$K$5:$K$32,$E$5:$E$34),IF('Cost of Ownership Calculation'!$A$5="ASCO",'Load Bank Pricing Breakdown'!$H$5:$H$32,'Load Bank Pricing Breakdown'!$B$5:$B$34),'Load Bank Pricing Breakdown'!$N6)</f>
        <v>2.9477000000000002</v>
      </c>
      <c r="U6" s="315">
        <f>IFERROR(VLOOKUP($N6,'Alternative Accessory Pricing'!$A$3:$C$6,3,FALSE),0)</f>
        <v>0</v>
      </c>
      <c r="V6" s="153">
        <f>SUMIFS(IF('Cost of Ownership Calculation'!$A$5="ASCO",'Load Bank Pricing Breakdown'!$I$5:$I$32,'Load Bank Pricing Breakdown'!$C$5:$C$34),IF('Cost of Ownership Calculation'!$A$5="ASCO",'Load Bank Pricing Breakdown'!$H$5:$H$32,'Load Bank Pricing Breakdown'!$B$5:$B$34),'Load Bank Pricing Breakdown'!N6)</f>
        <v>571.5</v>
      </c>
      <c r="W6" s="153">
        <f>IFERROR(VLOOKUP(N6,'Alternative Accessory Pricing'!$A$3:$B$6,2,FALSE),0)</f>
        <v>0</v>
      </c>
      <c r="X6" s="153">
        <f>_xlfn.MINIFS(V6:W6,V6:W6,"&gt;0")</f>
        <v>571.5</v>
      </c>
      <c r="Y6" s="320">
        <f t="shared" si="2"/>
        <v>2286</v>
      </c>
    </row>
    <row r="7" spans="1:25">
      <c r="A7" s="87" t="s">
        <v>320</v>
      </c>
      <c r="B7" s="105"/>
      <c r="C7" s="108">
        <v>0</v>
      </c>
      <c r="D7" s="105"/>
      <c r="E7" s="333">
        <f>-1000*1/12</f>
        <v>-83.333333333333329</v>
      </c>
      <c r="F7" s="98"/>
      <c r="G7" s="87" t="s">
        <v>505</v>
      </c>
      <c r="H7" s="105"/>
      <c r="I7" s="108">
        <v>0</v>
      </c>
      <c r="J7" s="324">
        <v>1</v>
      </c>
      <c r="K7" s="335">
        <f>-1000*'Alternative Accessory Pricing'!C3</f>
        <v>-125</v>
      </c>
      <c r="N7" s="152" t="str">
        <f>'Accessory Needs Breakdown'!A55</f>
        <v>CAT6 CABLES</v>
      </c>
      <c r="O7" s="316">
        <f>'Accessory Needs Breakdown'!C55</f>
        <v>2.8891257995735609E-2</v>
      </c>
      <c r="P7" s="315">
        <f>ROUNDUP(SUM('Master Tab'!$C$9:$C$10)*O7,0)</f>
        <v>2</v>
      </c>
      <c r="Q7" s="315">
        <f>IFERROR(VLOOKUP(N7,IF('Cost of Ownership Calculation'!$A$6="ASCO",$H$6:$J$32,$B$6:$D$34),3,FALSE),0)</f>
        <v>0</v>
      </c>
      <c r="R7" s="315">
        <f>P7*S7</f>
        <v>0.5</v>
      </c>
      <c r="S7" s="315">
        <f t="shared" si="1"/>
        <v>0.25</v>
      </c>
      <c r="T7" s="315">
        <f>SUMIFS(IF('Cost of Ownership Calculation'!$A$5="ASCO",$K$5:$K$32,$E$5:$E$34),IF('Cost of Ownership Calculation'!$A$5="ASCO",'Load Bank Pricing Breakdown'!$H$5:$H$32,'Load Bank Pricing Breakdown'!$B$5:$B$34),'Load Bank Pricing Breakdown'!$N7)</f>
        <v>0</v>
      </c>
      <c r="U7" s="315">
        <f>IFERROR(VLOOKUP($N7,'Alternative Accessory Pricing'!$A$3:$C$6,3,FALSE),0)</f>
        <v>0.25</v>
      </c>
      <c r="V7" s="153">
        <f>SUMIFS(IF('Cost of Ownership Calculation'!$A$5="ASCO",'Load Bank Pricing Breakdown'!$I$5:$I$32,'Load Bank Pricing Breakdown'!$C$5:$C$34),IF('Cost of Ownership Calculation'!$A$5="ASCO",'Load Bank Pricing Breakdown'!$H$5:$H$32,'Load Bank Pricing Breakdown'!$B$5:$B$34),'Load Bank Pricing Breakdown'!N7)</f>
        <v>0</v>
      </c>
      <c r="W7" s="153">
        <f>IFERROR(VLOOKUP(N7,'Alternative Accessory Pricing'!$A$3:$B$6,2,FALSE),0)</f>
        <v>59.62</v>
      </c>
      <c r="X7" s="153">
        <f t="shared" ref="X7:X11" si="3">_xlfn.MINIFS(V7:W7,V7:W7,"&gt;0")</f>
        <v>59.62</v>
      </c>
      <c r="Y7" s="320">
        <f t="shared" si="2"/>
        <v>119.24</v>
      </c>
    </row>
    <row r="8" spans="1:25">
      <c r="A8" s="87" t="s">
        <v>494</v>
      </c>
      <c r="B8" s="105" t="s">
        <v>477</v>
      </c>
      <c r="C8" s="108">
        <v>0</v>
      </c>
      <c r="D8" s="105">
        <v>40</v>
      </c>
      <c r="E8" s="333">
        <f>'Alternative Accessory Pricing'!C3</f>
        <v>0.125</v>
      </c>
      <c r="F8" s="98"/>
      <c r="G8" s="87" t="s">
        <v>506</v>
      </c>
      <c r="H8" s="105" t="s">
        <v>472</v>
      </c>
      <c r="I8" s="108">
        <v>1594</v>
      </c>
      <c r="J8" s="108"/>
      <c r="K8" s="335">
        <v>1</v>
      </c>
      <c r="N8" s="152" t="str">
        <f>'Accessory Needs Breakdown'!A56</f>
        <v>MASTER COMPUTER</v>
      </c>
      <c r="O8" s="316">
        <f>'Accessory Needs Breakdown'!C56</f>
        <v>1.4605543710021322E-2</v>
      </c>
      <c r="P8" s="315">
        <f>ROUNDUP(SUM('Master Tab'!$C$9:$C$10)*O8,0)</f>
        <v>1</v>
      </c>
      <c r="Q8" s="315">
        <f>IFERROR(VLOOKUP(N8,IF('Cost of Ownership Calculation'!$A$6="ASCO",$H$6:$J$32,$B$6:$D$34),3,FALSE),0)</f>
        <v>0</v>
      </c>
      <c r="R8" s="315">
        <f t="shared" si="0"/>
        <v>1</v>
      </c>
      <c r="S8" s="315">
        <f t="shared" si="1"/>
        <v>1</v>
      </c>
      <c r="T8" s="315">
        <f>SUMIFS(IF('Cost of Ownership Calculation'!$A$5="ASCO",$K$5:$K$32,$E$5:$E$34),IF('Cost of Ownership Calculation'!$A$5="ASCO",'Load Bank Pricing Breakdown'!$H$5:$H$32,'Load Bank Pricing Breakdown'!$B$5:$B$34),'Load Bank Pricing Breakdown'!$N8)</f>
        <v>1</v>
      </c>
      <c r="U8" s="315">
        <f>IFERROR(VLOOKUP($N8,'Alternative Accessory Pricing'!$A$3:$C$6,3,FALSE),0)</f>
        <v>0</v>
      </c>
      <c r="V8" s="153">
        <f>SUMIFS(IF('Cost of Ownership Calculation'!$A$5="ASCO",'Load Bank Pricing Breakdown'!$I$5:$I$32,'Load Bank Pricing Breakdown'!$C$5:$C$34),IF('Cost of Ownership Calculation'!$A$5="ASCO",'Load Bank Pricing Breakdown'!$H$5:$H$32,'Load Bank Pricing Breakdown'!$B$5:$B$34),'Load Bank Pricing Breakdown'!N8)</f>
        <v>1594</v>
      </c>
      <c r="W8" s="153">
        <f>IFERROR(VLOOKUP(N8,'Alternative Accessory Pricing'!$A$3:$B$6,2,FALSE),0)</f>
        <v>0</v>
      </c>
      <c r="X8" s="153">
        <f t="shared" si="3"/>
        <v>1594</v>
      </c>
      <c r="Y8" s="320">
        <f>(P8-Q8)*X8</f>
        <v>1594</v>
      </c>
    </row>
    <row r="9" spans="1:25">
      <c r="A9" s="87" t="s">
        <v>228</v>
      </c>
      <c r="B9" s="105" t="s">
        <v>471</v>
      </c>
      <c r="C9" s="108">
        <v>4403</v>
      </c>
      <c r="D9" s="105"/>
      <c r="E9" s="333">
        <f>1*1</f>
        <v>1</v>
      </c>
      <c r="F9" s="98"/>
      <c r="G9" s="87" t="s">
        <v>292</v>
      </c>
      <c r="H9" s="105" t="s">
        <v>485</v>
      </c>
      <c r="I9" s="108">
        <v>564.5</v>
      </c>
      <c r="J9" s="108"/>
      <c r="K9" s="335"/>
      <c r="N9" s="152" t="str">
        <f>'Accessory Needs Breakdown'!A57</f>
        <v>8-PORT ETHERNET SWITCH</v>
      </c>
      <c r="O9" s="316">
        <f>'Accessory Needs Breakdown'!C57</f>
        <v>2.2068230277185501E-2</v>
      </c>
      <c r="P9" s="315">
        <f>ROUNDUP(SUM('Master Tab'!$C$9:$C$10)*O9,0)</f>
        <v>2</v>
      </c>
      <c r="Q9" s="315">
        <f>IFERROR(VLOOKUP(N9,IF('Cost of Ownership Calculation'!$A$6="ASCO",$H$6:$J$32,$B$6:$D$34),3,FALSE),0)</f>
        <v>0</v>
      </c>
      <c r="R9" s="315">
        <f t="shared" si="0"/>
        <v>0.34728333333333328</v>
      </c>
      <c r="S9" s="315">
        <f t="shared" si="1"/>
        <v>0.17364166666666664</v>
      </c>
      <c r="T9" s="315">
        <f>SUMIFS(IF('Cost of Ownership Calculation'!$A$5="ASCO",$K$5:$K$32,$E$5:$E$34),IF('Cost of Ownership Calculation'!$A$5="ASCO",'Load Bank Pricing Breakdown'!$H$5:$H$32,'Load Bank Pricing Breakdown'!$B$5:$B$34),'Load Bank Pricing Breakdown'!$N9)</f>
        <v>0</v>
      </c>
      <c r="U9" s="315">
        <f>IFERROR(VLOOKUP($N9,'Alternative Accessory Pricing'!$A$3:$C$6,3,FALSE),0)</f>
        <v>0.17364166666666664</v>
      </c>
      <c r="V9" s="153">
        <f>SUMIFS(IF('Cost of Ownership Calculation'!$A$5="ASCO",'Load Bank Pricing Breakdown'!$I$5:$I$32,'Load Bank Pricing Breakdown'!$C$5:$C$34),IF('Cost of Ownership Calculation'!$A$5="ASCO",'Load Bank Pricing Breakdown'!$H$5:$H$32,'Load Bank Pricing Breakdown'!$B$5:$B$34),'Load Bank Pricing Breakdown'!N9)</f>
        <v>0</v>
      </c>
      <c r="W9" s="153">
        <f>IFERROR(VLOOKUP(N9,'Alternative Accessory Pricing'!$A$3:$B$6,2,FALSE),0)</f>
        <v>21.99</v>
      </c>
      <c r="X9" s="153">
        <f t="shared" si="3"/>
        <v>21.99</v>
      </c>
      <c r="Y9" s="320">
        <f t="shared" si="2"/>
        <v>43.98</v>
      </c>
    </row>
    <row r="10" spans="1:25">
      <c r="A10" s="87" t="s">
        <v>495</v>
      </c>
      <c r="B10" s="105" t="s">
        <v>478</v>
      </c>
      <c r="C10" s="108">
        <v>160</v>
      </c>
      <c r="D10" s="105"/>
      <c r="E10" s="333">
        <f>'Alternative Accessory Pricing'!C3</f>
        <v>0.125</v>
      </c>
      <c r="F10" s="98"/>
      <c r="G10" s="87"/>
      <c r="H10" s="105"/>
      <c r="I10" s="108"/>
      <c r="J10" s="108"/>
      <c r="K10" s="335"/>
      <c r="N10" s="152" t="str">
        <f>'Accessory Needs Breakdown'!A58</f>
        <v>CABLE, MASTER SLAVE 50FT (LBC-MSC-50)</v>
      </c>
      <c r="O10" s="316">
        <f>'Accessory Needs Breakdown'!C58</f>
        <v>0.60639658848614064</v>
      </c>
      <c r="P10" s="315">
        <f>ROUNDUP(SUM('Master Tab'!$C$9:$C$10)*O10,0)</f>
        <v>42</v>
      </c>
      <c r="Q10" s="315">
        <f>IFERROR(VLOOKUP(N10,IF('Cost of Ownership Calculation'!$A$6="ASCO",$H$6:$J$32,$B$6:$D$34),3,FALSE),0)</f>
        <v>0</v>
      </c>
      <c r="R10" s="315">
        <f t="shared" si="0"/>
        <v>0</v>
      </c>
      <c r="S10" s="315">
        <f t="shared" si="1"/>
        <v>0</v>
      </c>
      <c r="T10" s="315">
        <f>SUMIFS(IF('Cost of Ownership Calculation'!$A$5="ASCO",$K$5:$K$32,$E$5:$E$34),IF('Cost of Ownership Calculation'!$A$5="ASCO",'Load Bank Pricing Breakdown'!$H$5:$H$32,'Load Bank Pricing Breakdown'!$B$5:$B$34),'Load Bank Pricing Breakdown'!$N10)</f>
        <v>0</v>
      </c>
      <c r="U10" s="315">
        <f>IFERROR(VLOOKUP($N10,'Alternative Accessory Pricing'!$A$3:$C$6,3,FALSE),0)</f>
        <v>0</v>
      </c>
      <c r="V10" s="153">
        <f>SUMIFS(IF('Cost of Ownership Calculation'!$A$5="ASCO",'Load Bank Pricing Breakdown'!$I$5:$I$32,'Load Bank Pricing Breakdown'!$C$5:$C$34),IF('Cost of Ownership Calculation'!$A$5="ASCO",'Load Bank Pricing Breakdown'!$H$5:$H$32,'Load Bank Pricing Breakdown'!$B$5:$B$34),'Load Bank Pricing Breakdown'!N10)</f>
        <v>564.5</v>
      </c>
      <c r="W10" s="153">
        <f>IFERROR(VLOOKUP(N10,'Alternative Accessory Pricing'!$A$3:$B$6,2,FALSE),0)</f>
        <v>0</v>
      </c>
      <c r="X10" s="153">
        <f t="shared" si="3"/>
        <v>564.5</v>
      </c>
      <c r="Y10" s="320">
        <f>(P10-Q10)*X10</f>
        <v>23709</v>
      </c>
    </row>
    <row r="11" spans="1:25">
      <c r="A11" s="87"/>
      <c r="B11" s="105"/>
      <c r="C11" s="108"/>
      <c r="D11" s="105"/>
      <c r="E11" s="333"/>
      <c r="F11" s="98"/>
      <c r="G11" s="87"/>
      <c r="H11" s="105"/>
      <c r="I11" s="108"/>
      <c r="J11" s="108"/>
      <c r="K11" s="335"/>
      <c r="N11" s="152" t="str">
        <f>'Accessory Needs Breakdown'!A59</f>
        <v>ETHERNET POD (LBC-485-ETHNT)</v>
      </c>
      <c r="O11" s="316">
        <f>'Accessory Needs Breakdown'!C59</f>
        <v>0.20255863539445629</v>
      </c>
      <c r="P11" s="315">
        <f>ROUNDUP(SUM('Master Tab'!$C$9:$C$10)*O11,0)</f>
        <v>14</v>
      </c>
      <c r="Q11" s="315">
        <f>IFERROR(VLOOKUP(N11,IF('Cost of Ownership Calculation'!$A$6="ASCO",$H$6:$J$32,$B$6:$D$34),3,FALSE),0)</f>
        <v>0</v>
      </c>
      <c r="R11" s="315">
        <f t="shared" si="0"/>
        <v>2.4309833333333328</v>
      </c>
      <c r="S11" s="315">
        <f t="shared" si="1"/>
        <v>0.17364166666666664</v>
      </c>
      <c r="T11" s="315">
        <f>SUMIFS(IF('Cost of Ownership Calculation'!$A$5="ASCO",$K$5:$K$32,$E$5:$E$34),IF('Cost of Ownership Calculation'!$A$5="ASCO",'Load Bank Pricing Breakdown'!$H$5:$H$32,'Load Bank Pricing Breakdown'!$B$5:$B$34),'Load Bank Pricing Breakdown'!$N11)</f>
        <v>0</v>
      </c>
      <c r="U11" s="315">
        <f>IFERROR(VLOOKUP($N11,'Alternative Accessory Pricing'!$A$3:$C$6,3,FALSE),0)</f>
        <v>0.17364166666666664</v>
      </c>
      <c r="V11" s="153">
        <f>SUMIFS(IF('Cost of Ownership Calculation'!$A$5="ASCO",'Load Bank Pricing Breakdown'!$I$5:$I$32,'Load Bank Pricing Breakdown'!$C$5:$C$34),IF('Cost of Ownership Calculation'!$A$5="ASCO",'Load Bank Pricing Breakdown'!$H$5:$H$32,'Load Bank Pricing Breakdown'!$B$5:$B$34),'Load Bank Pricing Breakdown'!N11)</f>
        <v>0</v>
      </c>
      <c r="W11" s="153">
        <f>IFERROR(VLOOKUP(N11,'Alternative Accessory Pricing'!$A$3:$B$6,2,FALSE),0)</f>
        <v>43</v>
      </c>
      <c r="X11" s="153">
        <f t="shared" si="3"/>
        <v>43</v>
      </c>
      <c r="Y11" s="320">
        <f t="shared" si="2"/>
        <v>602</v>
      </c>
    </row>
    <row r="12" spans="1:25" ht="15.75" thickBot="1">
      <c r="A12" s="87"/>
      <c r="B12" s="105"/>
      <c r="C12" s="108"/>
      <c r="D12" s="105"/>
      <c r="E12" s="333"/>
      <c r="F12" s="98"/>
      <c r="G12" s="87"/>
      <c r="H12" s="105"/>
      <c r="I12" s="108"/>
      <c r="J12" s="108"/>
      <c r="K12" s="335"/>
      <c r="N12" s="155" t="str">
        <f>'Accessory Needs Breakdown'!A60</f>
        <v>REMOTE CABLE 50FT
(LBC-RCBLE-50)</v>
      </c>
      <c r="O12" s="319">
        <f>'Accessory Needs Breakdown'!C60</f>
        <v>0.20319829424307034</v>
      </c>
      <c r="P12" s="315">
        <f>ROUNDUP(SUM('Master Tab'!$C$9:$C$10)*O12,0)</f>
        <v>14</v>
      </c>
      <c r="Q12" s="321">
        <f>IFERROR(VLOOKUP(N12,IF('Cost of Ownership Calculation'!$A$6="ASCO",$H$6:$J$32,$B$6:$D$34),3,FALSE),0)</f>
        <v>0</v>
      </c>
      <c r="R12" s="315">
        <f t="shared" si="0"/>
        <v>1.75</v>
      </c>
      <c r="S12" s="315">
        <f t="shared" si="1"/>
        <v>0.125</v>
      </c>
      <c r="T12" s="315">
        <f>SUMIFS(IF('Cost of Ownership Calculation'!$A$5="ASCO",$K$5:$K$32,$E$5:$E$34),IF('Cost of Ownership Calculation'!$A$5="ASCO",'Load Bank Pricing Breakdown'!$H$5:$H$32,'Load Bank Pricing Breakdown'!$B$5:$B$34),'Load Bank Pricing Breakdown'!$N12)</f>
        <v>0.125</v>
      </c>
      <c r="U12" s="315">
        <f>IFERROR(VLOOKUP($N12,'Alternative Accessory Pricing'!$A$3:$C$6,3,FALSE),0)</f>
        <v>0</v>
      </c>
      <c r="V12" s="157">
        <f>SUMIFS(IF('Cost of Ownership Calculation'!$A$5="ASCO",'Load Bank Pricing Breakdown'!$I$5:$I$32,'Load Bank Pricing Breakdown'!$C$5:$C$34),IF('Cost of Ownership Calculation'!$A$5="ASCO",'Load Bank Pricing Breakdown'!$H$5:$H$32,'Load Bank Pricing Breakdown'!$B$5:$B$34),'Load Bank Pricing Breakdown'!N12)</f>
        <v>166.5</v>
      </c>
      <c r="W12" s="157">
        <f>IFERROR(VLOOKUP(N12,'Alternative Accessory Pricing'!$A$3:$B$6,2,FALSE),0)</f>
        <v>0</v>
      </c>
      <c r="X12" s="157">
        <f>_xlfn.MINIFS(V12:W12,V12:W12,"&gt;0")</f>
        <v>166.5</v>
      </c>
      <c r="Y12" s="322">
        <f t="shared" si="2"/>
        <v>2331</v>
      </c>
    </row>
    <row r="13" spans="1:25">
      <c r="A13" s="87"/>
      <c r="B13" s="105"/>
      <c r="C13" s="108"/>
      <c r="D13" s="105"/>
      <c r="E13" s="333"/>
      <c r="F13" s="98"/>
      <c r="G13" s="87"/>
      <c r="H13" s="105"/>
      <c r="I13" s="108"/>
      <c r="J13" s="108"/>
      <c r="K13" s="335"/>
      <c r="R13" s="339">
        <f>SUM(R4:R12)+R14</f>
        <v>73.291766666666661</v>
      </c>
      <c r="S13" t="s">
        <v>562</v>
      </c>
      <c r="X13" t="s">
        <v>503</v>
      </c>
      <c r="Y13" s="96">
        <f>SUM(Y4:Y12)</f>
        <v>277217.07615384617</v>
      </c>
    </row>
    <row r="14" spans="1:25">
      <c r="A14" s="87"/>
      <c r="B14" s="105"/>
      <c r="C14" s="108"/>
      <c r="D14" s="105"/>
      <c r="E14" s="333"/>
      <c r="F14" s="98"/>
      <c r="G14" s="87"/>
      <c r="H14" s="105"/>
      <c r="I14" s="108"/>
      <c r="J14" s="108"/>
      <c r="K14" s="335"/>
      <c r="R14" s="338">
        <f>'Master Tab'!C9/50*'Load Bank Pricing Breakdown'!K7</f>
        <v>0</v>
      </c>
      <c r="S14" t="s">
        <v>563</v>
      </c>
    </row>
    <row r="15" spans="1:25">
      <c r="A15" s="87"/>
      <c r="B15" s="105"/>
      <c r="C15" s="108"/>
      <c r="D15" s="105"/>
      <c r="E15" s="333"/>
      <c r="F15" s="98"/>
      <c r="G15" s="87"/>
      <c r="H15" s="105"/>
      <c r="I15" s="108"/>
      <c r="J15" s="108"/>
      <c r="K15" s="335"/>
    </row>
    <row r="16" spans="1:25">
      <c r="A16" s="87"/>
      <c r="B16" s="105"/>
      <c r="C16" s="108"/>
      <c r="D16" s="105"/>
      <c r="E16" s="333"/>
      <c r="F16" s="98"/>
      <c r="G16" s="87"/>
      <c r="H16" s="105"/>
      <c r="I16" s="108"/>
      <c r="J16" s="108"/>
      <c r="K16" s="335"/>
    </row>
    <row r="17" spans="1:11">
      <c r="E17" s="286"/>
      <c r="F17" s="98"/>
      <c r="G17" s="98"/>
    </row>
    <row r="18" spans="1:11">
      <c r="E18" s="286"/>
      <c r="G18" s="98"/>
      <c r="H18" s="98"/>
    </row>
    <row r="19" spans="1:11">
      <c r="A19" s="9" t="s">
        <v>170</v>
      </c>
      <c r="B19" s="98"/>
      <c r="C19" s="98"/>
      <c r="D19" s="98"/>
      <c r="E19" s="336"/>
      <c r="F19" s="98"/>
      <c r="G19" s="9" t="s">
        <v>170</v>
      </c>
      <c r="H19" s="98"/>
      <c r="I19" s="98"/>
      <c r="J19" s="98"/>
      <c r="K19" s="98"/>
    </row>
    <row r="20" spans="1:11">
      <c r="A20" s="194" t="s">
        <v>491</v>
      </c>
      <c r="B20" s="190" t="s">
        <v>498</v>
      </c>
      <c r="C20" s="190" t="s">
        <v>502</v>
      </c>
      <c r="D20" s="190" t="s">
        <v>524</v>
      </c>
      <c r="E20" s="337" t="s">
        <v>124</v>
      </c>
      <c r="F20" s="98"/>
      <c r="G20" s="194" t="s">
        <v>491</v>
      </c>
      <c r="H20" s="106" t="s">
        <v>498</v>
      </c>
      <c r="I20" s="106" t="s">
        <v>497</v>
      </c>
      <c r="J20" s="106" t="s">
        <v>524</v>
      </c>
      <c r="K20" s="106" t="s">
        <v>124</v>
      </c>
    </row>
    <row r="21" spans="1:11">
      <c r="A21" s="87" t="s">
        <v>171</v>
      </c>
      <c r="B21" s="108"/>
      <c r="C21" s="108">
        <v>26646</v>
      </c>
      <c r="D21" s="108"/>
      <c r="E21" s="324"/>
      <c r="F21" s="98"/>
      <c r="G21" s="111" t="s">
        <v>171</v>
      </c>
      <c r="H21" s="108"/>
      <c r="I21" s="108">
        <v>21024.5</v>
      </c>
      <c r="J21" s="108"/>
      <c r="K21" s="324"/>
    </row>
    <row r="22" spans="1:11">
      <c r="A22" s="87" t="s">
        <v>312</v>
      </c>
      <c r="B22" s="108" t="s">
        <v>487</v>
      </c>
      <c r="C22" s="108">
        <v>0</v>
      </c>
      <c r="D22" s="108">
        <v>1</v>
      </c>
      <c r="E22" s="324">
        <f>'Alternative Accessory Pricing'!C3</f>
        <v>0.125</v>
      </c>
      <c r="F22" s="98"/>
      <c r="G22" s="87" t="s">
        <v>295</v>
      </c>
      <c r="H22" s="108" t="s">
        <v>471</v>
      </c>
      <c r="I22" s="108">
        <v>571.5</v>
      </c>
      <c r="J22" s="108"/>
      <c r="K22" s="324">
        <f>1.9477</f>
        <v>1.9477</v>
      </c>
    </row>
    <row r="23" spans="1:11">
      <c r="A23" s="87" t="s">
        <v>228</v>
      </c>
      <c r="B23" s="105"/>
      <c r="C23" s="108">
        <v>4403</v>
      </c>
      <c r="D23" s="108"/>
      <c r="E23" s="333">
        <f>1*1</f>
        <v>1</v>
      </c>
      <c r="F23" s="98"/>
      <c r="G23" s="87" t="s">
        <v>507</v>
      </c>
      <c r="H23" s="105" t="s">
        <v>487</v>
      </c>
      <c r="I23" s="108">
        <v>166.5</v>
      </c>
      <c r="J23" s="108"/>
      <c r="K23" s="333">
        <f>'Alternative Accessory Pricing'!C3</f>
        <v>0.125</v>
      </c>
    </row>
    <row r="24" spans="1:11">
      <c r="A24" s="87" t="s">
        <v>496</v>
      </c>
      <c r="B24" s="105"/>
      <c r="C24" s="108">
        <v>160</v>
      </c>
      <c r="D24" s="108"/>
      <c r="E24" s="333">
        <f>'Alternative Accessory Pricing'!C3</f>
        <v>0.125</v>
      </c>
      <c r="F24" s="98"/>
      <c r="G24" s="87" t="s">
        <v>508</v>
      </c>
      <c r="H24" s="105"/>
      <c r="I24" s="108">
        <f>2281.5/13</f>
        <v>175.5</v>
      </c>
      <c r="J24" s="108"/>
      <c r="K24" s="333">
        <f>'Alternative Accessory Pricing'!$C$3*2/5</f>
        <v>0.05</v>
      </c>
    </row>
    <row r="25" spans="1:11">
      <c r="A25" s="87" t="s">
        <v>494</v>
      </c>
      <c r="B25" s="105" t="s">
        <v>477</v>
      </c>
      <c r="C25" s="108">
        <v>490</v>
      </c>
      <c r="D25" s="108"/>
      <c r="E25" s="333">
        <f>'Alternative Accessory Pricing'!C3</f>
        <v>0.125</v>
      </c>
      <c r="F25" s="98"/>
      <c r="G25" s="87" t="s">
        <v>509</v>
      </c>
      <c r="H25" s="105" t="s">
        <v>478</v>
      </c>
      <c r="I25" s="108">
        <f>4113/13</f>
        <v>316.38461538461536</v>
      </c>
      <c r="J25" s="108"/>
      <c r="K25" s="333">
        <f>'Alternative Accessory Pricing'!$C$3*3/5</f>
        <v>7.4999999999999997E-2</v>
      </c>
    </row>
    <row r="26" spans="1:11">
      <c r="A26" s="87"/>
      <c r="B26" s="105"/>
      <c r="C26" s="108"/>
      <c r="D26" s="108"/>
      <c r="E26" s="333"/>
      <c r="F26" s="98"/>
      <c r="G26" s="87" t="s">
        <v>292</v>
      </c>
      <c r="H26" s="105"/>
      <c r="I26" s="108">
        <v>564.5</v>
      </c>
      <c r="J26" s="108"/>
      <c r="K26" s="333">
        <f>1*2</f>
        <v>2</v>
      </c>
    </row>
    <row r="27" spans="1:11">
      <c r="A27" s="325" t="s">
        <v>527</v>
      </c>
      <c r="B27" s="105"/>
      <c r="C27" s="108"/>
      <c r="D27" s="108"/>
      <c r="E27" s="333"/>
      <c r="F27" s="98"/>
      <c r="G27" s="87"/>
      <c r="H27" s="105"/>
      <c r="I27" s="108"/>
      <c r="J27" s="108"/>
      <c r="K27" s="333"/>
    </row>
    <row r="28" spans="1:11">
      <c r="A28" s="87" t="s">
        <v>526</v>
      </c>
      <c r="B28" s="105" t="s">
        <v>487</v>
      </c>
      <c r="C28" s="108">
        <v>166.5</v>
      </c>
      <c r="D28" s="108"/>
      <c r="E28" s="333">
        <f>'Alternative Accessory Pricing'!C3</f>
        <v>0.125</v>
      </c>
      <c r="F28" s="98"/>
      <c r="G28" s="87"/>
      <c r="H28" s="105"/>
      <c r="I28" s="108"/>
      <c r="J28" s="108"/>
      <c r="K28" s="333"/>
    </row>
    <row r="29" spans="1:11">
      <c r="A29" s="87" t="s">
        <v>525</v>
      </c>
      <c r="B29" s="105" t="s">
        <v>472</v>
      </c>
      <c r="C29" s="108">
        <v>1594</v>
      </c>
      <c r="D29" s="105"/>
      <c r="E29" s="333">
        <f>K8</f>
        <v>1</v>
      </c>
      <c r="F29" s="98"/>
      <c r="G29" s="87"/>
      <c r="H29" s="105"/>
      <c r="I29" s="108"/>
      <c r="J29" s="108"/>
      <c r="K29" s="333"/>
    </row>
    <row r="30" spans="1:11">
      <c r="A30" s="87" t="s">
        <v>528</v>
      </c>
      <c r="B30" s="105" t="s">
        <v>485</v>
      </c>
      <c r="C30" s="108">
        <v>564.5</v>
      </c>
      <c r="D30" s="105"/>
      <c r="E30" s="333">
        <f>'Alternative Accessory Pricing'!C3</f>
        <v>0.125</v>
      </c>
      <c r="F30" s="98"/>
      <c r="G30" s="87"/>
      <c r="H30" s="105"/>
      <c r="I30" s="108"/>
      <c r="J30" s="108"/>
      <c r="K30" s="333"/>
    </row>
    <row r="31" spans="1:11">
      <c r="A31" s="87"/>
      <c r="B31" s="105"/>
      <c r="C31" s="108"/>
      <c r="D31" s="105"/>
      <c r="E31" s="333"/>
      <c r="F31" s="98"/>
      <c r="G31" s="87"/>
      <c r="H31" s="105"/>
      <c r="I31" s="108"/>
      <c r="J31" s="108"/>
      <c r="K31" s="333"/>
    </row>
    <row r="32" spans="1:11">
      <c r="A32" s="87"/>
      <c r="B32" s="105"/>
      <c r="C32" s="108"/>
      <c r="D32" s="105"/>
      <c r="E32" s="333"/>
      <c r="F32" s="98"/>
      <c r="G32" s="87"/>
      <c r="H32" s="105"/>
      <c r="I32" s="108"/>
      <c r="J32" s="108"/>
      <c r="K32" s="333"/>
    </row>
    <row r="37" spans="1:2">
      <c r="A37" s="9"/>
      <c r="B37" s="98"/>
    </row>
    <row r="38" spans="1:2">
      <c r="A38" s="9" t="s">
        <v>717</v>
      </c>
      <c r="B38" s="98"/>
    </row>
    <row r="39" spans="1:2">
      <c r="A39" s="190" t="s">
        <v>716</v>
      </c>
      <c r="B39" s="106" t="s">
        <v>229</v>
      </c>
    </row>
    <row r="40" spans="1:2">
      <c r="A40" s="324" t="s">
        <v>718</v>
      </c>
      <c r="B40" s="503">
        <v>42</v>
      </c>
    </row>
    <row r="41" spans="1:2">
      <c r="A41" s="9"/>
      <c r="B41" s="98"/>
    </row>
    <row r="42" spans="1:2">
      <c r="A42" s="9"/>
      <c r="B42" s="98"/>
    </row>
    <row r="43" spans="1:2">
      <c r="A43" s="9"/>
      <c r="B43" s="98"/>
    </row>
    <row r="44" spans="1:2">
      <c r="A44" s="9"/>
      <c r="B44" s="98"/>
    </row>
    <row r="45" spans="1:2">
      <c r="A45" s="9"/>
      <c r="B45" s="98"/>
    </row>
    <row r="46" spans="1:2">
      <c r="A46" s="9"/>
      <c r="B46" s="98"/>
    </row>
    <row r="47" spans="1:2">
      <c r="A47" s="9"/>
      <c r="B47" s="98"/>
    </row>
    <row r="48" spans="1:2">
      <c r="A48" s="9"/>
      <c r="B48" s="98"/>
    </row>
    <row r="49" spans="1:2">
      <c r="A49" s="9"/>
      <c r="B49" s="98"/>
    </row>
    <row r="50" spans="1:2">
      <c r="A50" s="9"/>
      <c r="B50" s="98"/>
    </row>
    <row r="51" spans="1:2">
      <c r="A51" s="9"/>
      <c r="B51" s="98"/>
    </row>
  </sheetData>
  <dataValidations count="1">
    <dataValidation type="list" allowBlank="1" showInputMessage="1" showErrorMessage="1" sqref="B5:B16 H21:H32 H5:H16 B21:B32" xr:uid="{6441A1A2-43C4-44E0-8AB1-0BACEFA1E9F0}">
      <formula1>$N$4:$N$12</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2F2C7-57E5-4B2F-83CF-8459E081BC2A}">
  <sheetPr codeName="Sheet24"/>
  <dimension ref="A1:AL79"/>
  <sheetViews>
    <sheetView workbookViewId="0">
      <selection activeCell="B22" sqref="B22:D22"/>
    </sheetView>
  </sheetViews>
  <sheetFormatPr defaultRowHeight="15"/>
  <cols>
    <col min="1" max="1" width="44.28515625" style="12" bestFit="1" customWidth="1"/>
    <col min="2" max="2" width="19.140625" style="12" bestFit="1" customWidth="1"/>
    <col min="3" max="3" width="22.140625" style="12" bestFit="1" customWidth="1"/>
    <col min="4" max="6" width="10.140625" style="12" customWidth="1"/>
    <col min="7" max="7" width="67.140625" style="12" customWidth="1"/>
    <col min="8" max="8" width="10.140625" style="12" customWidth="1"/>
    <col min="9" max="9" width="18.28515625" style="12" bestFit="1" customWidth="1"/>
    <col min="10" max="11" width="10.140625" style="12" customWidth="1"/>
    <col min="12" max="38" width="10.5703125" style="12" customWidth="1"/>
  </cols>
  <sheetData>
    <row r="1" spans="1:38" ht="32.25">
      <c r="A1" s="1" t="s">
        <v>426</v>
      </c>
      <c r="B1" s="2"/>
      <c r="C1" s="2"/>
      <c r="D1" s="2"/>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ht="26.25">
      <c r="A2" s="304"/>
      <c r="B2" s="2"/>
      <c r="C2" s="2"/>
      <c r="D2" s="2"/>
      <c r="E2" s="24"/>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1"/>
      <c r="B3" s="11"/>
      <c r="C3" s="11"/>
      <c r="D3" s="11"/>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row>
    <row r="4" spans="1:38">
      <c r="A4" s="13"/>
      <c r="B4" s="14"/>
      <c r="C4" s="13"/>
      <c r="D4" s="13"/>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row>
    <row r="5" spans="1:38" ht="18.75">
      <c r="A5" s="70" t="s">
        <v>480</v>
      </c>
      <c r="B5" s="16"/>
      <c r="C5" s="17"/>
      <c r="D5" s="17"/>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row>
    <row r="6" spans="1:38">
      <c r="A6" s="19"/>
      <c r="B6" s="67"/>
      <c r="C6" s="67"/>
      <c r="D6" s="11"/>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row>
    <row r="7" spans="1:38">
      <c r="A7" s="68" t="s">
        <v>467</v>
      </c>
      <c r="B7" s="74">
        <f>SUM('Data Center Job Stats'!$B$14:$B$16)</f>
        <v>70</v>
      </c>
      <c r="C7" s="11"/>
      <c r="D7" s="68"/>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row>
    <row r="8" spans="1:38">
      <c r="A8" s="68" t="s">
        <v>264</v>
      </c>
      <c r="B8" s="74">
        <v>0</v>
      </c>
      <c r="C8" s="11"/>
      <c r="D8" s="68"/>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row>
    <row r="9" spans="1:38">
      <c r="A9" s="68"/>
      <c r="B9" s="11"/>
      <c r="C9" s="11"/>
      <c r="D9" s="68"/>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row>
    <row r="10" spans="1:38">
      <c r="A10" s="68"/>
      <c r="B10" s="11"/>
      <c r="C10" s="11"/>
      <c r="D10" s="68"/>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row>
    <row r="11" spans="1:38">
      <c r="A11" s="311" t="s">
        <v>466</v>
      </c>
      <c r="B11" s="312" t="s">
        <v>469</v>
      </c>
      <c r="C11" s="312" t="s">
        <v>468</v>
      </c>
      <c r="D11" s="11"/>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row>
    <row r="12" spans="1:38">
      <c r="A12" s="19" t="s">
        <v>477</v>
      </c>
      <c r="B12" s="305">
        <v>370</v>
      </c>
      <c r="C12" s="308">
        <f>B12/SUM($B$7:$B$8)</f>
        <v>5.2857142857142856</v>
      </c>
      <c r="D12" s="11"/>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row>
    <row r="13" spans="1:38">
      <c r="A13" s="19" t="s">
        <v>478</v>
      </c>
      <c r="B13" s="306">
        <v>64</v>
      </c>
      <c r="C13" s="309">
        <f t="shared" ref="C13:C20" si="0">B13/SUM($B$7:$B$8)</f>
        <v>0.91428571428571426</v>
      </c>
      <c r="D13" s="11"/>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row>
    <row r="14" spans="1:38">
      <c r="A14" s="19" t="s">
        <v>471</v>
      </c>
      <c r="B14" s="306">
        <v>5</v>
      </c>
      <c r="C14" s="309">
        <f t="shared" si="0"/>
        <v>7.1428571428571425E-2</v>
      </c>
      <c r="D14" s="11"/>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row>
    <row r="15" spans="1:38">
      <c r="A15" s="19" t="s">
        <v>482</v>
      </c>
      <c r="B15" s="306">
        <v>3</v>
      </c>
      <c r="C15" s="309">
        <f t="shared" si="0"/>
        <v>4.2857142857142858E-2</v>
      </c>
      <c r="D15" s="11"/>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row>
    <row r="16" spans="1:38">
      <c r="A16" s="19" t="s">
        <v>472</v>
      </c>
      <c r="B16" s="306">
        <v>1</v>
      </c>
      <c r="C16" s="309">
        <f t="shared" si="0"/>
        <v>1.4285714285714285E-2</v>
      </c>
      <c r="D16" s="11"/>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row>
    <row r="17" spans="1:38">
      <c r="A17" s="19" t="s">
        <v>473</v>
      </c>
      <c r="B17" s="306">
        <v>1</v>
      </c>
      <c r="C17" s="309">
        <f t="shared" si="0"/>
        <v>1.4285714285714285E-2</v>
      </c>
      <c r="D17" s="11"/>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row>
    <row r="18" spans="1:38">
      <c r="A18" s="313" t="s">
        <v>485</v>
      </c>
      <c r="B18" s="306">
        <v>64</v>
      </c>
      <c r="C18" s="309">
        <f t="shared" si="0"/>
        <v>0.91428571428571426</v>
      </c>
      <c r="D18" s="11"/>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row>
    <row r="19" spans="1:38">
      <c r="A19" s="19" t="s">
        <v>486</v>
      </c>
      <c r="B19" s="306">
        <v>20</v>
      </c>
      <c r="C19" s="309">
        <f t="shared" si="0"/>
        <v>0.2857142857142857</v>
      </c>
      <c r="D19" s="11"/>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row>
    <row r="20" spans="1:38" ht="26.25">
      <c r="A20" s="313" t="s">
        <v>487</v>
      </c>
      <c r="B20" s="307">
        <v>18</v>
      </c>
      <c r="C20" s="310">
        <f t="shared" si="0"/>
        <v>0.25714285714285712</v>
      </c>
      <c r="D20" s="11"/>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row>
    <row r="21" spans="1:38">
      <c r="A21"/>
      <c r="B21"/>
      <c r="C21"/>
      <c r="D21" s="11"/>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row>
    <row r="22" spans="1:38">
      <c r="A22"/>
      <c r="B22"/>
      <c r="C22"/>
      <c r="D22" s="11"/>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row>
    <row r="23" spans="1:38">
      <c r="A23"/>
      <c r="B23"/>
      <c r="C23"/>
      <c r="D23" s="11"/>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row>
    <row r="24" spans="1:38">
      <c r="A24" s="19"/>
      <c r="B24" s="19"/>
      <c r="C24" s="11"/>
      <c r="D24" s="11"/>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row>
    <row r="25" spans="1:38">
      <c r="A25" s="13"/>
      <c r="B25" s="14"/>
      <c r="C25" s="13"/>
      <c r="D25" s="13"/>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row>
    <row r="26" spans="1:38" ht="18.75">
      <c r="A26" s="70" t="s">
        <v>479</v>
      </c>
      <c r="B26" s="16"/>
      <c r="C26" s="17"/>
      <c r="D26" s="17"/>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row>
    <row r="27" spans="1:38">
      <c r="A27" s="19"/>
      <c r="B27" s="67"/>
      <c r="C27" s="67"/>
      <c r="D27" s="11"/>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row>
    <row r="28" spans="1:38">
      <c r="A28" s="68" t="s">
        <v>467</v>
      </c>
      <c r="B28" s="74">
        <f>SUM('SAT 46 Load Bank Stats'!$J$6:$J$7)</f>
        <v>66</v>
      </c>
      <c r="C28" s="11"/>
      <c r="D28" s="68"/>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row>
    <row r="29" spans="1:38">
      <c r="A29" s="68" t="s">
        <v>264</v>
      </c>
      <c r="B29" s="74">
        <v>1</v>
      </c>
      <c r="C29" s="11"/>
      <c r="D29" s="68"/>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row>
    <row r="30" spans="1:38">
      <c r="A30" s="68"/>
      <c r="B30" s="11"/>
      <c r="C30" s="11"/>
      <c r="D30" s="68"/>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row>
    <row r="31" spans="1:38">
      <c r="A31" s="68"/>
      <c r="B31" s="11"/>
      <c r="C31" s="11"/>
      <c r="D31" s="68"/>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row>
    <row r="32" spans="1:38">
      <c r="A32" s="311" t="s">
        <v>466</v>
      </c>
      <c r="B32" s="312" t="s">
        <v>469</v>
      </c>
      <c r="C32" s="312" t="s">
        <v>468</v>
      </c>
      <c r="D32" s="68"/>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row>
    <row r="33" spans="1:38">
      <c r="A33" s="19" t="s">
        <v>87</v>
      </c>
      <c r="B33" s="305">
        <f>'SAT 46 LB CO'!Q7</f>
        <v>400</v>
      </c>
      <c r="C33" s="308">
        <f>B33/SUM($B$28:$B$29)</f>
        <v>5.9701492537313436</v>
      </c>
      <c r="D33" s="68"/>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row>
    <row r="34" spans="1:38">
      <c r="A34" s="19" t="s">
        <v>470</v>
      </c>
      <c r="B34" s="306">
        <v>60</v>
      </c>
      <c r="C34" s="309">
        <f t="shared" ref="C34:C46" si="1">B34/SUM($B$28:$B$29)</f>
        <v>0.89552238805970152</v>
      </c>
      <c r="D34" s="68"/>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row>
    <row r="35" spans="1:38">
      <c r="A35" s="19" t="s">
        <v>471</v>
      </c>
      <c r="B35" s="306">
        <v>5</v>
      </c>
      <c r="C35" s="309">
        <f t="shared" si="1"/>
        <v>7.4626865671641784E-2</v>
      </c>
      <c r="D35" s="68"/>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row>
    <row r="36" spans="1:38">
      <c r="A36" s="19" t="s">
        <v>472</v>
      </c>
      <c r="B36" s="306">
        <v>1</v>
      </c>
      <c r="C36" s="309">
        <f t="shared" si="1"/>
        <v>1.4925373134328358E-2</v>
      </c>
      <c r="D36" s="68"/>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row>
    <row r="37" spans="1:38">
      <c r="A37" s="19" t="s">
        <v>482</v>
      </c>
      <c r="B37" s="306">
        <v>1</v>
      </c>
      <c r="C37" s="309">
        <f t="shared" si="1"/>
        <v>1.4925373134328358E-2</v>
      </c>
      <c r="D37" s="11"/>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row>
    <row r="38" spans="1:38">
      <c r="A38" s="19" t="s">
        <v>473</v>
      </c>
      <c r="B38" s="306">
        <v>2</v>
      </c>
      <c r="C38" s="309">
        <f t="shared" si="1"/>
        <v>2.9850746268656716E-2</v>
      </c>
      <c r="D38" s="11"/>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row>
    <row r="39" spans="1:38" ht="26.25">
      <c r="A39" s="313" t="s">
        <v>476</v>
      </c>
      <c r="B39" s="306">
        <v>1</v>
      </c>
      <c r="C39" s="309">
        <f t="shared" si="1"/>
        <v>1.4925373134328358E-2</v>
      </c>
      <c r="D39" s="11"/>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row>
    <row r="40" spans="1:38">
      <c r="A40" s="19" t="s">
        <v>474</v>
      </c>
      <c r="B40" s="306">
        <v>1</v>
      </c>
      <c r="C40" s="309">
        <f t="shared" si="1"/>
        <v>1.4925373134328358E-2</v>
      </c>
      <c r="D40" s="11"/>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row>
    <row r="41" spans="1:38">
      <c r="A41" s="19" t="s">
        <v>475</v>
      </c>
      <c r="B41" s="306">
        <v>1</v>
      </c>
      <c r="C41" s="309">
        <f t="shared" si="1"/>
        <v>1.4925373134328358E-2</v>
      </c>
      <c r="D41" s="11"/>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row>
    <row r="42" spans="1:38" ht="26.25">
      <c r="A42" s="313" t="s">
        <v>488</v>
      </c>
      <c r="B42" s="306">
        <v>60</v>
      </c>
      <c r="C42" s="309">
        <f t="shared" si="1"/>
        <v>0.89552238805970152</v>
      </c>
      <c r="D42" s="11"/>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row>
    <row r="43" spans="1:38">
      <c r="A43" s="313" t="s">
        <v>489</v>
      </c>
      <c r="B43" s="306">
        <v>20</v>
      </c>
      <c r="C43" s="309">
        <f t="shared" si="1"/>
        <v>0.29850746268656714</v>
      </c>
      <c r="D43" s="11"/>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row>
    <row r="44" spans="1:38">
      <c r="A44" s="19" t="s">
        <v>486</v>
      </c>
      <c r="B44" s="306">
        <v>8</v>
      </c>
      <c r="C44" s="309">
        <f t="shared" si="1"/>
        <v>0.11940298507462686</v>
      </c>
      <c r="D44" s="11"/>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row>
    <row r="45" spans="1:38">
      <c r="A45" s="19" t="s">
        <v>628</v>
      </c>
      <c r="B45" s="306">
        <f>'SAT 46 LB CO'!Q6</f>
        <v>60</v>
      </c>
      <c r="C45" s="309">
        <f t="shared" si="1"/>
        <v>0.89552238805970152</v>
      </c>
      <c r="D45" s="11"/>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row>
    <row r="46" spans="1:38" ht="26.25">
      <c r="A46" s="313" t="s">
        <v>487</v>
      </c>
      <c r="B46" s="307">
        <v>10</v>
      </c>
      <c r="C46" s="310">
        <f t="shared" si="1"/>
        <v>0.14925373134328357</v>
      </c>
      <c r="D46" s="11"/>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row>
    <row r="47" spans="1:38">
      <c r="A47" s="19"/>
      <c r="B47" s="19"/>
      <c r="C47" s="11"/>
      <c r="D47" s="11"/>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row>
    <row r="48" spans="1:38">
      <c r="A48" s="19"/>
      <c r="B48" s="19"/>
      <c r="C48" s="11"/>
      <c r="D48" s="11"/>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row>
    <row r="49" spans="1:38" ht="18.75">
      <c r="A49" s="70" t="s">
        <v>481</v>
      </c>
      <c r="B49" s="21"/>
      <c r="C49" s="21"/>
      <c r="D49" s="21"/>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row>
    <row r="50" spans="1:38" ht="15.75">
      <c r="A50" s="72"/>
      <c r="B50" s="25"/>
      <c r="C50" s="25"/>
      <c r="D50" s="25"/>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row>
    <row r="51" spans="1:38">
      <c r="A51" s="311" t="s">
        <v>466</v>
      </c>
      <c r="B51" s="312" t="s">
        <v>483</v>
      </c>
      <c r="C51" s="312" t="s">
        <v>484</v>
      </c>
      <c r="D51" s="11"/>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row>
    <row r="52" spans="1:38">
      <c r="A52" s="19" t="s">
        <v>477</v>
      </c>
      <c r="B52" s="308" t="str">
        <f t="shared" ref="B52:B60" si="2">IF(ISERROR(VLOOKUP(A52,$A$33:$A$46,1,FALSE)),"No", "Yes")</f>
        <v>Yes</v>
      </c>
      <c r="C52" s="308">
        <f t="shared" ref="C52:C60" si="3">AVERAGE(VLOOKUP(A52,$A$33:$C$46,3,FALSE),VLOOKUP(A52,$A$12:$C$20,3,FALSE))</f>
        <v>5.6279317697228146</v>
      </c>
      <c r="D52" s="11"/>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row>
    <row r="53" spans="1:38">
      <c r="A53" s="19" t="s">
        <v>478</v>
      </c>
      <c r="B53" s="309" t="str">
        <f t="shared" si="2"/>
        <v>Yes</v>
      </c>
      <c r="C53" s="309">
        <f t="shared" si="3"/>
        <v>0.90490405117270789</v>
      </c>
      <c r="D53" s="11"/>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row>
    <row r="54" spans="1:38">
      <c r="A54" s="19" t="s">
        <v>471</v>
      </c>
      <c r="B54" s="309" t="str">
        <f t="shared" si="2"/>
        <v>Yes</v>
      </c>
      <c r="C54" s="309">
        <f t="shared" si="3"/>
        <v>7.3027718550106605E-2</v>
      </c>
      <c r="D54" s="11"/>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row>
    <row r="55" spans="1:38">
      <c r="A55" s="19" t="s">
        <v>482</v>
      </c>
      <c r="B55" s="309" t="str">
        <f t="shared" si="2"/>
        <v>Yes</v>
      </c>
      <c r="C55" s="309">
        <f t="shared" si="3"/>
        <v>2.8891257995735609E-2</v>
      </c>
      <c r="D55" s="11"/>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row>
    <row r="56" spans="1:38">
      <c r="A56" s="19" t="s">
        <v>472</v>
      </c>
      <c r="B56" s="309" t="str">
        <f t="shared" si="2"/>
        <v>Yes</v>
      </c>
      <c r="C56" s="309">
        <f t="shared" si="3"/>
        <v>1.4605543710021322E-2</v>
      </c>
      <c r="D56" s="11"/>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row>
    <row r="57" spans="1:38">
      <c r="A57" s="19" t="s">
        <v>473</v>
      </c>
      <c r="B57" s="309" t="str">
        <f t="shared" si="2"/>
        <v>Yes</v>
      </c>
      <c r="C57" s="309">
        <f t="shared" si="3"/>
        <v>2.2068230277185501E-2</v>
      </c>
      <c r="D57" s="11"/>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row>
    <row r="58" spans="1:38">
      <c r="A58" s="313" t="s">
        <v>485</v>
      </c>
      <c r="B58" s="309" t="str">
        <f t="shared" si="2"/>
        <v>Yes</v>
      </c>
      <c r="C58" s="309">
        <f t="shared" si="3"/>
        <v>0.60639658848614064</v>
      </c>
      <c r="D58" s="11"/>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row>
    <row r="59" spans="1:38">
      <c r="A59" s="19" t="s">
        <v>486</v>
      </c>
      <c r="B59" s="309" t="str">
        <f t="shared" si="2"/>
        <v>Yes</v>
      </c>
      <c r="C59" s="309">
        <f t="shared" si="3"/>
        <v>0.20255863539445629</v>
      </c>
      <c r="D59" s="11"/>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row>
    <row r="60" spans="1:38" ht="26.25">
      <c r="A60" s="313" t="s">
        <v>487</v>
      </c>
      <c r="B60" s="310" t="str">
        <f t="shared" si="2"/>
        <v>Yes</v>
      </c>
      <c r="C60" s="310">
        <f t="shared" si="3"/>
        <v>0.20319829424307034</v>
      </c>
      <c r="D60" s="11"/>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row>
    <row r="61" spans="1:38">
      <c r="A61" s="68"/>
      <c r="B61" s="25"/>
      <c r="C61" s="25"/>
      <c r="D61" s="11"/>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row>
    <row r="62" spans="1:38">
      <c r="A62" s="68"/>
      <c r="B62" s="67"/>
      <c r="C62" s="67"/>
      <c r="D62" s="11"/>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row>
    <row r="63" spans="1:38" ht="15.75" customHeight="1">
      <c r="A63"/>
      <c r="B63"/>
      <c r="C63"/>
      <c r="D63"/>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row>
    <row r="64" spans="1:38">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row>
    <row r="65" spans="1:38">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row>
    <row r="66" spans="1:38">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row>
    <row r="67" spans="1:38">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row>
    <row r="68" spans="1:38">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row>
    <row r="69" spans="1:38">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row>
    <row r="70" spans="1:38">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row>
    <row r="71" spans="1:38">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row>
    <row r="72" spans="1:38">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row>
    <row r="73" spans="1:38">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row>
    <row r="74" spans="1:38">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row>
    <row r="75" spans="1:38">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row>
    <row r="76" spans="1:38">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row>
    <row r="77" spans="1:38">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row>
    <row r="78" spans="1:38">
      <c r="A78" s="24"/>
      <c r="B78" s="24"/>
      <c r="C78" s="24"/>
      <c r="D78" s="24"/>
      <c r="E78" s="24"/>
      <c r="F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row>
    <row r="79" spans="1:38">
      <c r="A79" s="24"/>
      <c r="B79" s="24"/>
      <c r="C79" s="24"/>
      <c r="D79" s="24"/>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81DA9-BE47-42A6-AC77-DFE2D4FABAF9}">
  <sheetPr codeName="Sheet13"/>
  <dimension ref="A1:I74"/>
  <sheetViews>
    <sheetView topLeftCell="A55" workbookViewId="0">
      <selection activeCell="I57" sqref="I57"/>
    </sheetView>
  </sheetViews>
  <sheetFormatPr defaultRowHeight="15"/>
  <cols>
    <col min="1" max="1" width="34.5703125" customWidth="1"/>
    <col min="2" max="4" width="7.5703125" hidden="1" customWidth="1"/>
    <col min="5" max="5" width="11.5703125" bestFit="1" customWidth="1"/>
    <col min="6" max="6" width="9.7109375" customWidth="1"/>
    <col min="7" max="7" width="6" customWidth="1"/>
    <col min="8" max="9" width="98.85546875" bestFit="1" customWidth="1"/>
  </cols>
  <sheetData>
    <row r="1" spans="1:9">
      <c r="A1" s="9" t="s">
        <v>270</v>
      </c>
      <c r="B1" s="9"/>
      <c r="C1" s="9"/>
      <c r="D1" s="9"/>
    </row>
    <row r="2" spans="1:9">
      <c r="A2" s="244" t="s">
        <v>264</v>
      </c>
      <c r="B2" s="245" t="s">
        <v>124</v>
      </c>
      <c r="C2" s="245" t="s">
        <v>289</v>
      </c>
      <c r="D2" s="245" t="s">
        <v>291</v>
      </c>
      <c r="E2" s="245" t="s">
        <v>286</v>
      </c>
      <c r="F2" s="245" t="s">
        <v>265</v>
      </c>
      <c r="G2" s="245" t="s">
        <v>14</v>
      </c>
      <c r="H2" s="245" t="s">
        <v>275</v>
      </c>
      <c r="I2" s="245" t="s">
        <v>169</v>
      </c>
    </row>
    <row r="3" spans="1:9">
      <c r="A3" s="246" t="s">
        <v>273</v>
      </c>
      <c r="B3" s="177"/>
      <c r="C3" s="177"/>
      <c r="D3" s="177"/>
      <c r="E3" s="153"/>
      <c r="F3" s="241"/>
      <c r="G3" s="241"/>
      <c r="H3" s="241"/>
      <c r="I3" s="241"/>
    </row>
    <row r="4" spans="1:9" ht="30">
      <c r="A4" s="247" t="s">
        <v>274</v>
      </c>
      <c r="B4" s="177"/>
      <c r="C4" s="177"/>
      <c r="D4" s="177"/>
      <c r="E4" s="153">
        <v>0</v>
      </c>
      <c r="F4" s="241"/>
      <c r="G4" s="241">
        <v>1</v>
      </c>
      <c r="H4" s="242" t="s">
        <v>276</v>
      </c>
      <c r="I4" s="242"/>
    </row>
    <row r="5" spans="1:9" ht="30">
      <c r="A5" s="247" t="s">
        <v>277</v>
      </c>
      <c r="B5" s="177"/>
      <c r="C5" s="177"/>
      <c r="D5" s="177"/>
      <c r="E5" s="153">
        <v>0</v>
      </c>
      <c r="F5" s="241"/>
      <c r="G5" s="241">
        <v>1</v>
      </c>
      <c r="H5" s="242" t="s">
        <v>279</v>
      </c>
      <c r="I5" s="242" t="s">
        <v>278</v>
      </c>
    </row>
    <row r="6" spans="1:9" ht="30">
      <c r="A6" s="247" t="s">
        <v>280</v>
      </c>
      <c r="B6" s="177"/>
      <c r="C6" s="177"/>
      <c r="D6" s="177"/>
      <c r="E6" s="153">
        <v>0</v>
      </c>
      <c r="F6" s="241"/>
      <c r="G6" s="241">
        <v>2</v>
      </c>
      <c r="H6" s="242" t="s">
        <v>282</v>
      </c>
      <c r="I6" s="243" t="s">
        <v>281</v>
      </c>
    </row>
    <row r="7" spans="1:9">
      <c r="A7" s="247" t="s">
        <v>283</v>
      </c>
      <c r="B7" s="177"/>
      <c r="C7" s="177"/>
      <c r="D7" s="177"/>
      <c r="E7" s="153"/>
      <c r="F7" s="241"/>
      <c r="G7" s="241">
        <v>2</v>
      </c>
      <c r="H7" s="243"/>
      <c r="I7" s="243"/>
    </row>
    <row r="8" spans="1:9">
      <c r="A8" s="246" t="s">
        <v>284</v>
      </c>
      <c r="B8" s="177"/>
      <c r="C8" s="177"/>
      <c r="D8" s="177"/>
      <c r="E8" s="153"/>
      <c r="F8" s="241"/>
      <c r="G8" s="241"/>
      <c r="H8" s="243"/>
      <c r="I8" s="243"/>
    </row>
    <row r="9" spans="1:9" ht="45">
      <c r="A9" s="247" t="s">
        <v>285</v>
      </c>
      <c r="B9" s="177"/>
      <c r="C9" s="177" t="s">
        <v>290</v>
      </c>
      <c r="D9" s="177">
        <v>6</v>
      </c>
      <c r="E9" s="153">
        <v>1594</v>
      </c>
      <c r="F9" s="241"/>
      <c r="G9" s="241">
        <v>1</v>
      </c>
      <c r="H9" s="242" t="s">
        <v>288</v>
      </c>
      <c r="I9" s="243" t="s">
        <v>287</v>
      </c>
    </row>
    <row r="10" spans="1:9" ht="30">
      <c r="A10" s="247" t="s">
        <v>292</v>
      </c>
      <c r="B10" s="177"/>
      <c r="C10" s="177" t="s">
        <v>290</v>
      </c>
      <c r="D10" s="177">
        <v>5</v>
      </c>
      <c r="E10" s="153">
        <v>564.5</v>
      </c>
      <c r="F10" s="241"/>
      <c r="G10" s="241">
        <v>1</v>
      </c>
      <c r="H10" s="242" t="s">
        <v>293</v>
      </c>
      <c r="I10" s="243"/>
    </row>
    <row r="11" spans="1:9">
      <c r="A11" s="247"/>
      <c r="B11" s="177"/>
      <c r="C11" s="177"/>
      <c r="D11" s="177"/>
      <c r="E11" s="153"/>
      <c r="F11" s="241"/>
      <c r="G11" s="241"/>
      <c r="H11" s="243"/>
      <c r="I11" s="243"/>
    </row>
    <row r="12" spans="1:9">
      <c r="A12" s="247"/>
      <c r="B12" s="177"/>
      <c r="C12" s="177"/>
      <c r="D12" s="177"/>
      <c r="E12" s="153"/>
      <c r="F12" s="241"/>
      <c r="G12" s="241"/>
      <c r="H12" s="243"/>
      <c r="I12" s="243"/>
    </row>
    <row r="13" spans="1:9">
      <c r="A13" s="247"/>
      <c r="B13" s="177"/>
      <c r="C13" s="177"/>
      <c r="D13" s="177"/>
      <c r="E13" s="153"/>
      <c r="F13" s="241"/>
      <c r="G13" s="241"/>
      <c r="H13" s="243"/>
      <c r="I13" s="243"/>
    </row>
    <row r="14" spans="1:9">
      <c r="A14" s="247"/>
      <c r="B14" s="177"/>
      <c r="C14" s="177"/>
      <c r="D14" s="177"/>
      <c r="E14" s="153"/>
      <c r="F14" s="241"/>
      <c r="G14" s="241"/>
      <c r="H14" s="243"/>
      <c r="I14" s="243"/>
    </row>
    <row r="15" spans="1:9">
      <c r="A15" s="9" t="s">
        <v>270</v>
      </c>
      <c r="B15" s="9"/>
      <c r="C15" s="9"/>
      <c r="D15" s="9"/>
    </row>
    <row r="16" spans="1:9">
      <c r="A16" s="244" t="s">
        <v>271</v>
      </c>
      <c r="B16" s="245" t="s">
        <v>124</v>
      </c>
      <c r="C16" s="245" t="s">
        <v>289</v>
      </c>
      <c r="D16" s="245" t="s">
        <v>291</v>
      </c>
      <c r="E16" s="245" t="s">
        <v>286</v>
      </c>
      <c r="F16" s="245" t="s">
        <v>265</v>
      </c>
      <c r="G16" s="245" t="s">
        <v>14</v>
      </c>
      <c r="H16" s="245" t="s">
        <v>275</v>
      </c>
      <c r="I16" s="245" t="s">
        <v>169</v>
      </c>
    </row>
    <row r="17" spans="1:9">
      <c r="A17" s="246" t="s">
        <v>273</v>
      </c>
      <c r="B17" s="177"/>
      <c r="C17" s="177"/>
      <c r="D17" s="177"/>
      <c r="E17" s="153"/>
      <c r="F17" s="241"/>
      <c r="G17" s="241"/>
      <c r="H17" s="241"/>
      <c r="I17" s="241"/>
    </row>
    <row r="18" spans="1:9">
      <c r="A18" s="247" t="s">
        <v>294</v>
      </c>
      <c r="B18" s="177"/>
      <c r="C18" s="177"/>
      <c r="D18" s="177"/>
      <c r="E18" s="153"/>
      <c r="F18" s="241"/>
      <c r="G18" s="241"/>
      <c r="H18" s="242"/>
      <c r="I18" s="242"/>
    </row>
    <row r="19" spans="1:9">
      <c r="A19" s="246" t="s">
        <v>284</v>
      </c>
      <c r="B19" s="177"/>
      <c r="C19" s="177"/>
      <c r="D19" s="177"/>
      <c r="E19" s="153"/>
      <c r="F19" s="241"/>
      <c r="G19" s="241"/>
      <c r="H19" s="243"/>
      <c r="I19" s="243"/>
    </row>
    <row r="20" spans="1:9" ht="30">
      <c r="A20" s="247" t="s">
        <v>295</v>
      </c>
      <c r="B20" s="177"/>
      <c r="C20" s="177" t="s">
        <v>290</v>
      </c>
      <c r="D20" s="177">
        <v>6</v>
      </c>
      <c r="E20" s="153">
        <f>38862/68</f>
        <v>571.5</v>
      </c>
      <c r="F20" s="241"/>
      <c r="G20" s="241">
        <v>68</v>
      </c>
      <c r="H20" s="242" t="s">
        <v>324</v>
      </c>
      <c r="I20" s="242" t="s">
        <v>325</v>
      </c>
    </row>
    <row r="21" spans="1:9" ht="30">
      <c r="A21" s="247" t="s">
        <v>296</v>
      </c>
      <c r="B21" s="177"/>
      <c r="C21" s="177"/>
      <c r="D21" s="177">
        <v>6</v>
      </c>
      <c r="E21" s="153">
        <f>11322/68</f>
        <v>166.5</v>
      </c>
      <c r="F21" s="241"/>
      <c r="G21" s="241">
        <v>68</v>
      </c>
      <c r="H21" s="242" t="s">
        <v>298</v>
      </c>
      <c r="I21" s="243" t="s">
        <v>297</v>
      </c>
    </row>
    <row r="22" spans="1:9" ht="30">
      <c r="A22" s="247" t="s">
        <v>167</v>
      </c>
      <c r="B22" s="177"/>
      <c r="C22" s="177"/>
      <c r="D22" s="177">
        <v>6</v>
      </c>
      <c r="E22" s="153">
        <f>155142/68</f>
        <v>2281.5</v>
      </c>
      <c r="F22" s="241"/>
      <c r="G22" s="241">
        <v>68</v>
      </c>
      <c r="H22" s="242" t="s">
        <v>299</v>
      </c>
      <c r="I22" s="243"/>
    </row>
    <row r="23" spans="1:9" ht="30">
      <c r="A23" s="247" t="s">
        <v>168</v>
      </c>
      <c r="B23" s="177"/>
      <c r="C23" s="177"/>
      <c r="D23" s="177">
        <v>6</v>
      </c>
      <c r="E23" s="153">
        <f>279684/68</f>
        <v>4113</v>
      </c>
      <c r="F23" s="241"/>
      <c r="G23" s="241">
        <v>68</v>
      </c>
      <c r="H23" s="242" t="s">
        <v>299</v>
      </c>
      <c r="I23" s="243"/>
    </row>
    <row r="24" spans="1:9" ht="30">
      <c r="A24" s="247" t="s">
        <v>292</v>
      </c>
      <c r="B24" s="177"/>
      <c r="C24" s="177"/>
      <c r="D24" s="177">
        <v>5</v>
      </c>
      <c r="E24" s="248">
        <f>1693.5/3</f>
        <v>564.5</v>
      </c>
      <c r="F24" s="241"/>
      <c r="G24" s="241">
        <v>3</v>
      </c>
      <c r="H24" s="242" t="s">
        <v>293</v>
      </c>
      <c r="I24" s="243"/>
    </row>
    <row r="25" spans="1:9">
      <c r="A25" s="247"/>
      <c r="B25" s="177"/>
      <c r="C25" s="177"/>
      <c r="D25" s="177"/>
      <c r="E25" s="153"/>
      <c r="F25" s="241"/>
      <c r="G25" s="241"/>
      <c r="H25" s="243"/>
      <c r="I25" s="243"/>
    </row>
    <row r="28" spans="1:9">
      <c r="A28" s="9" t="s">
        <v>266</v>
      </c>
      <c r="H28" s="9"/>
    </row>
    <row r="29" spans="1:9">
      <c r="A29" s="194" t="s">
        <v>267</v>
      </c>
      <c r="E29" s="107" t="s">
        <v>14</v>
      </c>
      <c r="F29" s="107" t="s">
        <v>269</v>
      </c>
    </row>
    <row r="30" spans="1:9">
      <c r="A30" s="87" t="s">
        <v>268</v>
      </c>
      <c r="E30" s="109">
        <v>108</v>
      </c>
      <c r="F30" s="109" t="s">
        <v>272</v>
      </c>
    </row>
    <row r="31" spans="1:9">
      <c r="A31" s="87"/>
      <c r="E31" s="109"/>
      <c r="F31" s="109"/>
    </row>
    <row r="35" spans="1:6">
      <c r="A35" s="9" t="s">
        <v>309</v>
      </c>
    </row>
    <row r="36" spans="1:6">
      <c r="A36" s="194" t="s">
        <v>310</v>
      </c>
      <c r="E36" s="107" t="s">
        <v>14</v>
      </c>
      <c r="F36" s="107"/>
    </row>
    <row r="37" spans="1:6">
      <c r="A37" s="87" t="s">
        <v>300</v>
      </c>
      <c r="E37" s="109"/>
      <c r="F37" s="109"/>
    </row>
    <row r="38" spans="1:6">
      <c r="A38" s="87" t="s">
        <v>301</v>
      </c>
      <c r="E38" s="109"/>
      <c r="F38" s="109"/>
    </row>
    <row r="39" spans="1:6">
      <c r="A39" s="87" t="s">
        <v>302</v>
      </c>
      <c r="E39" s="109"/>
      <c r="F39" s="109"/>
    </row>
    <row r="40" spans="1:6">
      <c r="A40" s="87" t="s">
        <v>303</v>
      </c>
      <c r="E40" s="109"/>
      <c r="F40" s="109"/>
    </row>
    <row r="41" spans="1:6">
      <c r="A41" s="87" t="s">
        <v>304</v>
      </c>
      <c r="E41" s="109"/>
      <c r="F41" s="109"/>
    </row>
    <row r="42" spans="1:6">
      <c r="A42" s="87" t="s">
        <v>305</v>
      </c>
      <c r="E42" s="109"/>
      <c r="F42" s="109"/>
    </row>
    <row r="43" spans="1:6">
      <c r="A43" s="87" t="s">
        <v>306</v>
      </c>
      <c r="E43" s="109"/>
      <c r="F43" s="109"/>
    </row>
    <row r="44" spans="1:6">
      <c r="A44" s="87" t="s">
        <v>307</v>
      </c>
      <c r="E44" s="109"/>
      <c r="F44" s="109"/>
    </row>
    <row r="45" spans="1:6">
      <c r="A45" s="87" t="s">
        <v>308</v>
      </c>
      <c r="E45" s="109"/>
      <c r="F45" s="109"/>
    </row>
    <row r="46" spans="1:6">
      <c r="A46" s="87"/>
      <c r="E46" s="109"/>
      <c r="F46" s="109"/>
    </row>
    <row r="47" spans="1:6">
      <c r="A47" s="87"/>
      <c r="E47" s="110"/>
      <c r="F47" s="110"/>
    </row>
    <row r="49" spans="1:9">
      <c r="A49" s="9" t="s">
        <v>311</v>
      </c>
      <c r="B49" s="9"/>
      <c r="C49" s="9"/>
      <c r="D49" s="9"/>
    </row>
    <row r="50" spans="1:9">
      <c r="A50" s="244" t="s">
        <v>264</v>
      </c>
      <c r="B50" s="245" t="s">
        <v>124</v>
      </c>
      <c r="C50" s="245" t="s">
        <v>289</v>
      </c>
      <c r="D50" s="245" t="s">
        <v>291</v>
      </c>
      <c r="E50" s="245" t="s">
        <v>286</v>
      </c>
      <c r="F50" s="245" t="s">
        <v>265</v>
      </c>
      <c r="G50" s="245" t="s">
        <v>14</v>
      </c>
      <c r="H50" s="245" t="s">
        <v>275</v>
      </c>
      <c r="I50" s="245" t="s">
        <v>169</v>
      </c>
    </row>
    <row r="51" spans="1:9">
      <c r="A51" s="246" t="s">
        <v>273</v>
      </c>
      <c r="B51" s="177"/>
      <c r="C51" s="177"/>
      <c r="D51" s="177"/>
      <c r="E51" s="153"/>
      <c r="F51" s="241"/>
      <c r="G51" s="241"/>
      <c r="H51" s="241"/>
      <c r="I51" s="241"/>
    </row>
    <row r="52" spans="1:9" ht="30">
      <c r="A52" s="249" t="s">
        <v>320</v>
      </c>
      <c r="B52" s="177"/>
      <c r="C52" s="177"/>
      <c r="D52" s="177"/>
      <c r="E52" s="248">
        <f>68/38862</f>
        <v>1.7497812773403325E-3</v>
      </c>
      <c r="F52" s="241"/>
      <c r="G52" s="241"/>
      <c r="H52" s="242" t="s">
        <v>322</v>
      </c>
      <c r="I52" s="243" t="s">
        <v>323</v>
      </c>
    </row>
    <row r="53" spans="1:9" ht="45">
      <c r="A53" s="249" t="s">
        <v>321</v>
      </c>
      <c r="B53" s="177"/>
      <c r="C53" s="177"/>
      <c r="D53" s="177"/>
      <c r="E53" s="248">
        <f>5*E71</f>
        <v>17150</v>
      </c>
      <c r="F53" s="241"/>
      <c r="G53" s="241"/>
      <c r="H53" s="242" t="s">
        <v>326</v>
      </c>
      <c r="I53" s="243"/>
    </row>
    <row r="54" spans="1:9" ht="45">
      <c r="A54" s="247" t="s">
        <v>277</v>
      </c>
      <c r="B54" s="177"/>
      <c r="C54" s="177"/>
      <c r="D54" s="177"/>
      <c r="E54" s="153">
        <v>0</v>
      </c>
      <c r="F54" s="241"/>
      <c r="G54" s="241"/>
      <c r="H54" s="242" t="s">
        <v>313</v>
      </c>
      <c r="I54" s="242"/>
    </row>
    <row r="55" spans="1:9">
      <c r="A55" s="246" t="s">
        <v>284</v>
      </c>
      <c r="B55" s="177"/>
      <c r="C55" s="177"/>
      <c r="D55" s="177"/>
      <c r="E55" s="153"/>
      <c r="F55" s="241"/>
      <c r="G55" s="241"/>
      <c r="H55" s="243"/>
      <c r="I55" s="243"/>
    </row>
    <row r="56" spans="1:9" ht="30">
      <c r="A56" s="247" t="s">
        <v>228</v>
      </c>
      <c r="B56" s="177"/>
      <c r="C56" s="177"/>
      <c r="D56" s="177"/>
      <c r="E56" s="153">
        <v>4403</v>
      </c>
      <c r="F56" s="241"/>
      <c r="G56" s="241"/>
      <c r="H56" s="242" t="s">
        <v>315</v>
      </c>
      <c r="I56" s="243" t="s">
        <v>314</v>
      </c>
    </row>
    <row r="57" spans="1:9">
      <c r="A57" s="247" t="s">
        <v>316</v>
      </c>
      <c r="B57" s="177"/>
      <c r="C57" s="177"/>
      <c r="D57" s="177"/>
      <c r="E57" s="153">
        <v>160</v>
      </c>
      <c r="F57" s="241"/>
      <c r="G57" s="241"/>
      <c r="H57" s="242"/>
      <c r="I57" s="243" t="s">
        <v>317</v>
      </c>
    </row>
    <row r="58" spans="1:9" ht="45">
      <c r="A58" s="247" t="s">
        <v>318</v>
      </c>
      <c r="B58" s="177"/>
      <c r="C58" s="177"/>
      <c r="D58" s="177"/>
      <c r="E58" s="153">
        <v>3430</v>
      </c>
      <c r="F58" s="241"/>
      <c r="G58" s="241">
        <v>7</v>
      </c>
      <c r="H58" s="242" t="s">
        <v>319</v>
      </c>
      <c r="I58" s="243"/>
    </row>
    <row r="59" spans="1:9">
      <c r="A59" s="247"/>
      <c r="B59" s="177"/>
      <c r="C59" s="177"/>
      <c r="D59" s="177"/>
      <c r="E59" s="153"/>
      <c r="F59" s="241"/>
      <c r="G59" s="241"/>
      <c r="H59" s="242"/>
      <c r="I59" s="243"/>
    </row>
    <row r="60" spans="1:9">
      <c r="A60" s="247"/>
      <c r="B60" s="177"/>
      <c r="C60" s="177"/>
      <c r="D60" s="177"/>
      <c r="E60" s="248"/>
      <c r="F60" s="241"/>
      <c r="G60" s="241"/>
      <c r="H60" s="242"/>
      <c r="I60" s="243"/>
    </row>
    <row r="61" spans="1:9">
      <c r="A61" s="247"/>
      <c r="B61" s="177"/>
      <c r="C61" s="177"/>
      <c r="D61" s="177"/>
      <c r="E61" s="153"/>
      <c r="F61" s="241"/>
      <c r="G61" s="241"/>
      <c r="H61" s="243"/>
      <c r="I61" s="243"/>
    </row>
    <row r="64" spans="1:9">
      <c r="A64" s="9" t="s">
        <v>311</v>
      </c>
      <c r="B64" s="9"/>
      <c r="C64" s="9"/>
      <c r="D64" s="9"/>
    </row>
    <row r="65" spans="1:9">
      <c r="A65" s="244" t="s">
        <v>271</v>
      </c>
      <c r="B65" s="245" t="s">
        <v>124</v>
      </c>
      <c r="C65" s="245" t="s">
        <v>289</v>
      </c>
      <c r="D65" s="245" t="s">
        <v>291</v>
      </c>
      <c r="E65" s="245" t="s">
        <v>286</v>
      </c>
      <c r="F65" s="245" t="s">
        <v>265</v>
      </c>
      <c r="G65" s="245" t="s">
        <v>14</v>
      </c>
      <c r="H65" s="245" t="s">
        <v>275</v>
      </c>
      <c r="I65" s="245" t="s">
        <v>169</v>
      </c>
    </row>
    <row r="66" spans="1:9">
      <c r="A66" s="246" t="s">
        <v>273</v>
      </c>
      <c r="B66" s="177"/>
      <c r="C66" s="177"/>
      <c r="D66" s="177"/>
      <c r="E66" s="153"/>
      <c r="F66" s="241"/>
      <c r="G66" s="241"/>
      <c r="H66" s="241"/>
      <c r="I66" s="241"/>
    </row>
    <row r="67" spans="1:9" ht="45">
      <c r="A67" s="247" t="s">
        <v>312</v>
      </c>
      <c r="B67" s="177"/>
      <c r="C67" s="177"/>
      <c r="D67" s="177"/>
      <c r="E67" s="153"/>
      <c r="F67" s="241"/>
      <c r="G67" s="241"/>
      <c r="H67" s="242" t="s">
        <v>313</v>
      </c>
      <c r="I67" s="242"/>
    </row>
    <row r="68" spans="1:9">
      <c r="A68" s="246" t="s">
        <v>284</v>
      </c>
      <c r="B68" s="177"/>
      <c r="C68" s="177"/>
      <c r="D68" s="177"/>
      <c r="E68" s="153"/>
      <c r="F68" s="241"/>
      <c r="G68" s="241"/>
      <c r="H68" s="243"/>
      <c r="I68" s="243"/>
    </row>
    <row r="69" spans="1:9" ht="30">
      <c r="A69" s="247" t="s">
        <v>228</v>
      </c>
      <c r="B69" s="177"/>
      <c r="C69" s="177"/>
      <c r="D69" s="177"/>
      <c r="E69" s="153">
        <v>4403</v>
      </c>
      <c r="F69" s="241"/>
      <c r="G69" s="241"/>
      <c r="H69" s="242" t="s">
        <v>315</v>
      </c>
      <c r="I69" s="243" t="s">
        <v>314</v>
      </c>
    </row>
    <row r="70" spans="1:9">
      <c r="A70" s="247" t="s">
        <v>316</v>
      </c>
      <c r="B70" s="177"/>
      <c r="C70" s="177"/>
      <c r="D70" s="177"/>
      <c r="E70" s="153">
        <v>160</v>
      </c>
      <c r="F70" s="241"/>
      <c r="G70" s="241"/>
      <c r="H70" s="242"/>
      <c r="I70" s="243" t="s">
        <v>317</v>
      </c>
    </row>
    <row r="71" spans="1:9" ht="45">
      <c r="A71" s="247" t="s">
        <v>318</v>
      </c>
      <c r="B71" s="177"/>
      <c r="C71" s="177"/>
      <c r="D71" s="177"/>
      <c r="E71" s="153">
        <v>3430</v>
      </c>
      <c r="F71" s="241"/>
      <c r="G71" s="241"/>
      <c r="H71" s="242" t="s">
        <v>319</v>
      </c>
      <c r="I71" s="243"/>
    </row>
    <row r="72" spans="1:9">
      <c r="A72" s="247"/>
      <c r="B72" s="177"/>
      <c r="C72" s="177"/>
      <c r="D72" s="177"/>
      <c r="E72" s="153"/>
      <c r="F72" s="241"/>
      <c r="G72" s="241"/>
      <c r="H72" s="242"/>
      <c r="I72" s="243"/>
    </row>
    <row r="73" spans="1:9">
      <c r="A73" s="247"/>
      <c r="B73" s="177"/>
      <c r="C73" s="177"/>
      <c r="D73" s="177"/>
      <c r="E73" s="248"/>
      <c r="F73" s="241"/>
      <c r="G73" s="241"/>
      <c r="H73" s="242"/>
      <c r="I73" s="243"/>
    </row>
    <row r="74" spans="1:9">
      <c r="A74" s="247"/>
      <c r="B74" s="177"/>
      <c r="C74" s="177"/>
      <c r="D74" s="177"/>
      <c r="E74" s="153"/>
      <c r="F74" s="241"/>
      <c r="G74" s="241"/>
      <c r="H74" s="243"/>
      <c r="I74" s="243"/>
    </row>
  </sheetData>
  <pageMargins left="0.7" right="0.7" top="0.75" bottom="0.75" header="0.3" footer="0.3"/>
  <pageSetup orientation="portrait" r:id="rId1"/>
  <tableParts count="4">
    <tablePart r:id="rId2"/>
    <tablePart r:id="rId3"/>
    <tablePart r:id="rId4"/>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6833-4DE5-40A3-AD31-F9AE8849C542}">
  <sheetPr codeName="Sheet23"/>
  <dimension ref="A2:G6"/>
  <sheetViews>
    <sheetView workbookViewId="0">
      <selection activeCell="B22" sqref="B22:D22"/>
    </sheetView>
  </sheetViews>
  <sheetFormatPr defaultRowHeight="15"/>
  <cols>
    <col min="1" max="1" width="38.140625" bestFit="1" customWidth="1"/>
    <col min="4" max="4" width="11.5703125" bestFit="1" customWidth="1"/>
  </cols>
  <sheetData>
    <row r="2" spans="1:7">
      <c r="A2" s="323" t="s">
        <v>187</v>
      </c>
      <c r="B2" s="323" t="s">
        <v>6</v>
      </c>
      <c r="C2" s="323" t="s">
        <v>124</v>
      </c>
      <c r="D2" s="323" t="s">
        <v>516</v>
      </c>
      <c r="E2" s="323" t="s">
        <v>517</v>
      </c>
      <c r="F2" s="323" t="s">
        <v>518</v>
      </c>
      <c r="G2" s="323" t="s">
        <v>512</v>
      </c>
    </row>
    <row r="3" spans="1:7">
      <c r="A3" t="s">
        <v>477</v>
      </c>
      <c r="B3">
        <v>592.47</v>
      </c>
      <c r="C3">
        <f>D3*E3</f>
        <v>0.125</v>
      </c>
      <c r="D3">
        <v>0.5</v>
      </c>
      <c r="E3" s="286">
        <v>0.25</v>
      </c>
      <c r="G3" s="97" t="s">
        <v>513</v>
      </c>
    </row>
    <row r="4" spans="1:7">
      <c r="A4" t="s">
        <v>482</v>
      </c>
      <c r="B4">
        <v>59.62</v>
      </c>
      <c r="C4">
        <f t="shared" ref="C4:C6" si="0">D4*E4</f>
        <v>0.25</v>
      </c>
      <c r="D4">
        <v>0.5</v>
      </c>
      <c r="E4" s="286">
        <v>0.5</v>
      </c>
      <c r="G4" s="97" t="s">
        <v>514</v>
      </c>
    </row>
    <row r="5" spans="1:7">
      <c r="A5" t="s">
        <v>473</v>
      </c>
      <c r="B5">
        <v>21.99</v>
      </c>
      <c r="C5">
        <f t="shared" si="0"/>
        <v>0.17364166666666664</v>
      </c>
      <c r="D5" s="286">
        <f>6.22/12</f>
        <v>0.51833333333333331</v>
      </c>
      <c r="E5" s="286">
        <f>4.02/12</f>
        <v>0.33499999999999996</v>
      </c>
      <c r="F5" s="286">
        <f>1.02/12</f>
        <v>8.5000000000000006E-2</v>
      </c>
      <c r="G5" s="97" t="s">
        <v>515</v>
      </c>
    </row>
    <row r="6" spans="1:7">
      <c r="A6" t="s">
        <v>486</v>
      </c>
      <c r="B6">
        <v>43</v>
      </c>
      <c r="C6">
        <f t="shared" si="0"/>
        <v>0.17364166666666664</v>
      </c>
      <c r="D6" s="286">
        <f>6.22/12</f>
        <v>0.51833333333333331</v>
      </c>
      <c r="E6" s="286">
        <f>4.02/12</f>
        <v>0.33499999999999996</v>
      </c>
      <c r="F6" s="286">
        <f>1.02/12</f>
        <v>8.5000000000000006E-2</v>
      </c>
      <c r="G6" s="97" t="s">
        <v>519</v>
      </c>
    </row>
  </sheetData>
  <hyperlinks>
    <hyperlink ref="G3" r:id="rId1" location="/1688-lex_color_options-white?utm_source=google&amp;utm_medium=base&amp;utm_campaign=products&amp;leadsource=14" display="https://www.stagelightingstore.com/lex-feeder-cable-1/97254-lex-400-amp-cam-type-4-0-awg-type-sc-cable-extension-50-?gclid=Cj0KCQjw3IqSBhCoARIsAMBkTb1tZZujrjfMS5wJ2C09YLX2c0NVT-cBTNZiZrWKKH13jgawWaEUNH0aAuv_EALw_wcB#/1688-lex_color_options-white?utm_source=google&amp;utm_medium=base&amp;utm_campaign=products&amp;leadsource=14" xr:uid="{629FBB73-6C4D-4DD3-AA47-443DE33EE451}"/>
    <hyperlink ref="G5" r:id="rId2" display="https://www.amazon.com/NETGEAR-8-Port-Gigabit-Ethernet-Unmanaged/dp/B07PFYM5MZ/ref=asc_df_B07PFYM5MZ/?tag=&amp;linkCode=df0&amp;hvadid=343224652930&amp;hvpos=&amp;hvnetw=g&amp;hvrand=18397481473242469052&amp;hvpone=&amp;hvptwo=&amp;hvqmt=&amp;hvdev=c&amp;hvdvcmdl=&amp;hvlocint=&amp;hvlocphy=9007574&amp;hvtargid=pla-729340060977&amp;ref=&amp;adgrpid=71764766791&amp;th=1" xr:uid="{269ABDD6-DCEF-479B-B5E2-C789CF04EBC8}"/>
    <hyperlink ref="G6" r:id="rId3" xr:uid="{6BFE932A-5C49-4FE5-AF40-992A88064B3C}"/>
    <hyperlink ref="G4" r:id="rId4" xr:uid="{2A9E2ED0-120A-4C12-99BC-CF016BC671B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2DC3-31AE-4887-B443-1F8B5796DD0B}">
  <sheetPr codeName="Sheet9"/>
  <dimension ref="A1:I60"/>
  <sheetViews>
    <sheetView workbookViewId="0">
      <selection activeCell="B22" sqref="B22:D22"/>
    </sheetView>
  </sheetViews>
  <sheetFormatPr defaultRowHeight="15"/>
  <cols>
    <col min="1" max="1" width="33.42578125" bestFit="1" customWidth="1"/>
    <col min="2" max="2" width="33.42578125" hidden="1" customWidth="1"/>
    <col min="3" max="6" width="19.42578125" customWidth="1"/>
    <col min="7" max="7" width="25.7109375" bestFit="1" customWidth="1"/>
    <col min="8" max="8" width="16.85546875" bestFit="1" customWidth="1"/>
    <col min="9" max="9" width="24.7109375" bestFit="1" customWidth="1"/>
    <col min="10" max="10" width="12.5703125" bestFit="1" customWidth="1"/>
    <col min="11" max="11" width="13.140625" bestFit="1" customWidth="1"/>
    <col min="12" max="12" width="11.5703125" bestFit="1" customWidth="1"/>
    <col min="13" max="13" width="12.140625" bestFit="1" customWidth="1"/>
    <col min="14" max="14" width="16.85546875" customWidth="1"/>
    <col min="15" max="15" width="20.28515625" bestFit="1" customWidth="1"/>
    <col min="16" max="16" width="33.42578125" bestFit="1" customWidth="1"/>
  </cols>
  <sheetData>
    <row r="1" spans="1:9">
      <c r="A1" s="193" t="s">
        <v>230</v>
      </c>
      <c r="B1" s="193"/>
      <c r="C1" s="192" t="s">
        <v>231</v>
      </c>
    </row>
    <row r="2" spans="1:9">
      <c r="A2" s="9" t="s">
        <v>169</v>
      </c>
      <c r="B2" s="9"/>
      <c r="C2" s="98"/>
      <c r="D2" s="98"/>
    </row>
    <row r="3" spans="1:9">
      <c r="A3" s="194" t="s">
        <v>56</v>
      </c>
      <c r="B3" s="198"/>
      <c r="C3" s="195" t="s">
        <v>22</v>
      </c>
      <c r="D3" s="196" t="s">
        <v>22</v>
      </c>
      <c r="E3" s="195" t="s">
        <v>5</v>
      </c>
      <c r="F3" s="197" t="s">
        <v>5</v>
      </c>
      <c r="G3" s="98"/>
      <c r="H3" s="98"/>
    </row>
    <row r="4" spans="1:9">
      <c r="A4" s="82" t="s">
        <v>159</v>
      </c>
      <c r="B4" s="199"/>
      <c r="C4" s="99">
        <v>3000</v>
      </c>
      <c r="D4" s="99">
        <v>3000</v>
      </c>
      <c r="E4" s="100">
        <v>400</v>
      </c>
      <c r="F4" s="100">
        <v>400</v>
      </c>
      <c r="G4" s="98"/>
      <c r="H4" s="98"/>
    </row>
    <row r="5" spans="1:9">
      <c r="A5" s="84" t="s">
        <v>160</v>
      </c>
      <c r="B5" s="177"/>
      <c r="C5" s="101">
        <v>5</v>
      </c>
      <c r="D5" s="101">
        <v>5</v>
      </c>
      <c r="E5" s="102">
        <v>1</v>
      </c>
      <c r="F5" s="102">
        <v>5</v>
      </c>
    </row>
    <row r="6" spans="1:9">
      <c r="A6" s="84" t="s">
        <v>161</v>
      </c>
      <c r="B6" s="177"/>
      <c r="C6" s="101">
        <v>480</v>
      </c>
      <c r="D6" s="101">
        <v>480</v>
      </c>
      <c r="E6" s="102">
        <v>400</v>
      </c>
      <c r="F6" s="102">
        <v>480</v>
      </c>
    </row>
    <row r="7" spans="1:9">
      <c r="A7" s="84" t="s">
        <v>162</v>
      </c>
      <c r="B7" s="177"/>
      <c r="C7" s="101">
        <v>60</v>
      </c>
      <c r="D7" s="101">
        <v>60</v>
      </c>
      <c r="E7" s="102">
        <v>50</v>
      </c>
      <c r="F7" s="102">
        <v>60</v>
      </c>
    </row>
    <row r="8" spans="1:9">
      <c r="A8" s="84" t="s">
        <v>163</v>
      </c>
      <c r="B8" s="177"/>
      <c r="C8" s="101">
        <v>5000</v>
      </c>
      <c r="D8" s="101">
        <v>8300</v>
      </c>
      <c r="E8" s="102">
        <v>1300</v>
      </c>
      <c r="F8" s="102">
        <v>950</v>
      </c>
    </row>
    <row r="9" spans="1:9">
      <c r="A9" s="84" t="s">
        <v>130</v>
      </c>
      <c r="B9" s="177"/>
      <c r="C9" s="129">
        <f>113/12</f>
        <v>9.4166666666666661</v>
      </c>
      <c r="D9" s="129">
        <f>225/12</f>
        <v>18.75</v>
      </c>
      <c r="E9" s="128">
        <f>58/12</f>
        <v>4.833333333333333</v>
      </c>
      <c r="F9" s="128">
        <f>56.19/12</f>
        <v>4.6825000000000001</v>
      </c>
      <c r="G9" s="207"/>
      <c r="H9" s="206"/>
      <c r="I9" s="206"/>
    </row>
    <row r="10" spans="1:9">
      <c r="A10" s="84" t="s">
        <v>133</v>
      </c>
      <c r="B10" s="177"/>
      <c r="C10" s="129">
        <f>48/12</f>
        <v>4</v>
      </c>
      <c r="D10" s="129">
        <f>98/12</f>
        <v>8.1666666666666661</v>
      </c>
      <c r="E10" s="128">
        <f>34/12</f>
        <v>2.8333333333333335</v>
      </c>
      <c r="F10" s="128">
        <f>34.19/12</f>
        <v>2.8491666666666666</v>
      </c>
      <c r="G10" s="207"/>
      <c r="H10" s="206"/>
      <c r="I10" s="206"/>
    </row>
    <row r="11" spans="1:9">
      <c r="A11" s="84" t="s">
        <v>144</v>
      </c>
      <c r="B11" s="177"/>
      <c r="C11" s="129">
        <f>98/12</f>
        <v>8.1666666666666661</v>
      </c>
      <c r="D11" s="129">
        <f>135/12</f>
        <v>11.25</v>
      </c>
      <c r="E11" s="128">
        <f>60/12</f>
        <v>5</v>
      </c>
      <c r="F11" s="128">
        <f>50.62/12</f>
        <v>4.2183333333333328</v>
      </c>
      <c r="G11" s="207"/>
      <c r="H11" s="206"/>
      <c r="I11" s="206"/>
    </row>
    <row r="12" spans="1:9">
      <c r="A12" s="84" t="s">
        <v>164</v>
      </c>
      <c r="B12" s="177"/>
      <c r="C12" s="101">
        <f>C9*C10*C11</f>
        <v>307.61111111111109</v>
      </c>
      <c r="D12" s="101">
        <f>D9*D10*D11</f>
        <v>1722.65625</v>
      </c>
      <c r="E12" s="102">
        <f>E9*E10*E11</f>
        <v>68.472222222222229</v>
      </c>
      <c r="F12" s="102">
        <f>F9*F10*F11</f>
        <v>56.277725336805545</v>
      </c>
    </row>
    <row r="13" spans="1:9">
      <c r="A13" s="84" t="s">
        <v>23</v>
      </c>
      <c r="B13" s="177"/>
      <c r="C13" s="101">
        <f>C9*C10</f>
        <v>37.666666666666664</v>
      </c>
      <c r="D13" s="101">
        <f>D9*D10</f>
        <v>153.125</v>
      </c>
      <c r="E13" s="102">
        <f>E9*E10</f>
        <v>13.694444444444445</v>
      </c>
      <c r="F13" s="102">
        <f>F9*F10</f>
        <v>13.341222916666666</v>
      </c>
    </row>
    <row r="14" spans="1:9">
      <c r="A14" s="84" t="s">
        <v>165</v>
      </c>
      <c r="B14" s="177"/>
      <c r="C14" s="101">
        <v>-20</v>
      </c>
      <c r="D14" s="101">
        <v>-20</v>
      </c>
      <c r="E14" s="102">
        <v>-20</v>
      </c>
      <c r="F14" s="102">
        <v>-20</v>
      </c>
    </row>
    <row r="15" spans="1:9">
      <c r="A15" s="88" t="s">
        <v>166</v>
      </c>
      <c r="B15" s="86"/>
      <c r="C15" s="103">
        <v>120</v>
      </c>
      <c r="D15" s="103">
        <v>120</v>
      </c>
      <c r="E15" s="104">
        <v>120</v>
      </c>
      <c r="F15" s="104">
        <v>120</v>
      </c>
    </row>
    <row r="60" spans="1:1">
      <c r="A60" t="s">
        <v>151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65E04-4030-4B5D-8240-1B8388AD6EE6}">
  <sheetPr codeName="Sheet17"/>
  <dimension ref="B1:I113"/>
  <sheetViews>
    <sheetView workbookViewId="0">
      <selection activeCell="B22" sqref="B22:D22"/>
    </sheetView>
  </sheetViews>
  <sheetFormatPr defaultRowHeight="15"/>
  <cols>
    <col min="2" max="2" width="22.42578125" bestFit="1" customWidth="1"/>
    <col min="3" max="3" width="10" bestFit="1" customWidth="1"/>
    <col min="6" max="6" width="11.5703125" style="66" bestFit="1" customWidth="1"/>
    <col min="7" max="7" width="10.140625" bestFit="1" customWidth="1"/>
    <col min="8" max="8" width="13.85546875" style="66" bestFit="1" customWidth="1"/>
  </cols>
  <sheetData>
    <row r="1" spans="2:9">
      <c r="B1" t="s">
        <v>368</v>
      </c>
    </row>
    <row r="2" spans="2:9">
      <c r="B2" s="271" t="s">
        <v>370</v>
      </c>
      <c r="C2" s="272" t="s">
        <v>369</v>
      </c>
      <c r="D2" s="273" t="s">
        <v>18</v>
      </c>
      <c r="E2" s="273" t="s">
        <v>14</v>
      </c>
      <c r="F2" s="274" t="s">
        <v>371</v>
      </c>
      <c r="G2" s="273" t="s">
        <v>372</v>
      </c>
      <c r="H2" s="277" t="s">
        <v>373</v>
      </c>
    </row>
    <row r="3" spans="2:9">
      <c r="B3" s="82" t="s">
        <v>27</v>
      </c>
      <c r="C3" s="199" t="s">
        <v>374</v>
      </c>
      <c r="D3" s="99" t="s">
        <v>5</v>
      </c>
      <c r="E3" s="99">
        <v>66</v>
      </c>
      <c r="F3" s="275">
        <v>31500</v>
      </c>
      <c r="G3" s="99">
        <v>3</v>
      </c>
      <c r="H3" s="83">
        <f>F3/G3</f>
        <v>10500</v>
      </c>
    </row>
    <row r="4" spans="2:9">
      <c r="B4" s="84" t="s">
        <v>27</v>
      </c>
      <c r="C4" s="278" t="s">
        <v>374</v>
      </c>
      <c r="D4" s="101" t="s">
        <v>5</v>
      </c>
      <c r="E4" s="101">
        <v>4</v>
      </c>
      <c r="F4" s="153">
        <v>10500</v>
      </c>
      <c r="G4" s="101">
        <v>1</v>
      </c>
      <c r="H4" s="85">
        <f t="shared" ref="H4:H5" si="0">F4/G4</f>
        <v>10500</v>
      </c>
      <c r="I4" s="90" t="s">
        <v>375</v>
      </c>
    </row>
    <row r="5" spans="2:9">
      <c r="B5" s="88" t="s">
        <v>27</v>
      </c>
      <c r="C5" s="279" t="s">
        <v>374</v>
      </c>
      <c r="D5" s="103" t="s">
        <v>22</v>
      </c>
      <c r="E5" s="103">
        <v>1</v>
      </c>
      <c r="F5" s="276">
        <v>12975</v>
      </c>
      <c r="G5" s="103">
        <v>1</v>
      </c>
      <c r="H5" s="89">
        <f t="shared" si="0"/>
        <v>12975</v>
      </c>
      <c r="I5" t="s">
        <v>376</v>
      </c>
    </row>
    <row r="6" spans="2:9">
      <c r="F6"/>
      <c r="H6"/>
    </row>
    <row r="7" spans="2:9">
      <c r="B7" t="s">
        <v>557</v>
      </c>
      <c r="C7">
        <f>28</f>
        <v>28</v>
      </c>
      <c r="D7" s="241"/>
      <c r="F7"/>
      <c r="H7"/>
    </row>
    <row r="8" spans="2:9">
      <c r="F8"/>
      <c r="H8"/>
    </row>
    <row r="9" spans="2:9">
      <c r="F9"/>
      <c r="H9"/>
    </row>
    <row r="11" spans="2:9">
      <c r="B11" t="s">
        <v>549</v>
      </c>
    </row>
    <row r="12" spans="2:9">
      <c r="B12" s="271" t="s">
        <v>370</v>
      </c>
      <c r="C12" s="272" t="s">
        <v>369</v>
      </c>
      <c r="D12" s="273" t="s">
        <v>18</v>
      </c>
      <c r="E12" s="273" t="s">
        <v>14</v>
      </c>
      <c r="F12" s="274" t="s">
        <v>371</v>
      </c>
      <c r="G12" s="273" t="s">
        <v>372</v>
      </c>
      <c r="H12" s="277" t="s">
        <v>373</v>
      </c>
    </row>
    <row r="13" spans="2:9">
      <c r="B13" s="82" t="s">
        <v>27</v>
      </c>
      <c r="C13" s="199" t="s">
        <v>374</v>
      </c>
      <c r="D13" s="177" t="s">
        <v>5</v>
      </c>
      <c r="E13" s="99">
        <v>100</v>
      </c>
      <c r="F13" s="275">
        <f>H13*G13</f>
        <v>42000</v>
      </c>
      <c r="G13" s="330">
        <f>ROUNDUP(E13/$C$7,0)</f>
        <v>4</v>
      </c>
      <c r="H13" s="83">
        <f>$H$3</f>
        <v>10500</v>
      </c>
    </row>
    <row r="14" spans="2:9">
      <c r="B14" s="84" t="s">
        <v>27</v>
      </c>
      <c r="C14" s="278" t="s">
        <v>374</v>
      </c>
      <c r="D14" s="177" t="s">
        <v>5</v>
      </c>
      <c r="E14" s="329">
        <v>99</v>
      </c>
      <c r="F14" s="153">
        <f t="shared" ref="F14:F15" si="1">H14*G14</f>
        <v>42000</v>
      </c>
      <c r="G14" s="329">
        <f t="shared" ref="G14:G77" si="2">ROUNDUP(E14/$C$7,0)</f>
        <v>4</v>
      </c>
      <c r="H14" s="85">
        <f t="shared" ref="H14:H77" si="3">$H$3</f>
        <v>10500</v>
      </c>
    </row>
    <row r="15" spans="2:9">
      <c r="B15" s="84" t="s">
        <v>27</v>
      </c>
      <c r="C15" s="278" t="s">
        <v>374</v>
      </c>
      <c r="D15" s="177" t="s">
        <v>5</v>
      </c>
      <c r="E15" s="329">
        <v>98</v>
      </c>
      <c r="F15" s="153">
        <f t="shared" si="1"/>
        <v>42000</v>
      </c>
      <c r="G15" s="329">
        <f t="shared" si="2"/>
        <v>4</v>
      </c>
      <c r="H15" s="85">
        <f t="shared" si="3"/>
        <v>10500</v>
      </c>
    </row>
    <row r="16" spans="2:9">
      <c r="B16" t="s">
        <v>27</v>
      </c>
      <c r="C16" s="177" t="s">
        <v>374</v>
      </c>
      <c r="D16" s="177" t="s">
        <v>5</v>
      </c>
      <c r="E16" s="164">
        <v>97</v>
      </c>
      <c r="F16" s="153">
        <f t="shared" ref="F16:F70" si="4">H16*G16</f>
        <v>42000</v>
      </c>
      <c r="G16" s="164">
        <f t="shared" si="2"/>
        <v>4</v>
      </c>
      <c r="H16" s="153">
        <f t="shared" si="3"/>
        <v>10500</v>
      </c>
    </row>
    <row r="17" spans="2:8">
      <c r="B17" t="s">
        <v>27</v>
      </c>
      <c r="C17" t="s">
        <v>374</v>
      </c>
      <c r="D17" t="s">
        <v>5</v>
      </c>
      <c r="E17" s="329">
        <v>96</v>
      </c>
      <c r="F17" s="66">
        <f t="shared" si="4"/>
        <v>42000</v>
      </c>
      <c r="G17" s="268">
        <f t="shared" si="2"/>
        <v>4</v>
      </c>
      <c r="H17" s="66">
        <f t="shared" si="3"/>
        <v>10500</v>
      </c>
    </row>
    <row r="18" spans="2:8">
      <c r="B18" t="s">
        <v>27</v>
      </c>
      <c r="C18" t="s">
        <v>374</v>
      </c>
      <c r="D18" t="s">
        <v>5</v>
      </c>
      <c r="E18" s="329">
        <v>95</v>
      </c>
      <c r="F18" s="66">
        <f t="shared" si="4"/>
        <v>42000</v>
      </c>
      <c r="G18" s="268">
        <f t="shared" si="2"/>
        <v>4</v>
      </c>
      <c r="H18" s="66">
        <f t="shared" si="3"/>
        <v>10500</v>
      </c>
    </row>
    <row r="19" spans="2:8">
      <c r="B19" t="s">
        <v>27</v>
      </c>
      <c r="C19" t="s">
        <v>374</v>
      </c>
      <c r="D19" t="s">
        <v>5</v>
      </c>
      <c r="E19" s="164">
        <v>94</v>
      </c>
      <c r="F19" s="66">
        <f t="shared" si="4"/>
        <v>42000</v>
      </c>
      <c r="G19" s="268">
        <f t="shared" si="2"/>
        <v>4</v>
      </c>
      <c r="H19" s="66">
        <f t="shared" si="3"/>
        <v>10500</v>
      </c>
    </row>
    <row r="20" spans="2:8">
      <c r="B20" t="s">
        <v>27</v>
      </c>
      <c r="C20" t="s">
        <v>374</v>
      </c>
      <c r="D20" t="s">
        <v>5</v>
      </c>
      <c r="E20" s="329">
        <v>93</v>
      </c>
      <c r="F20" s="66">
        <f t="shared" si="4"/>
        <v>42000</v>
      </c>
      <c r="G20" s="268">
        <f t="shared" si="2"/>
        <v>4</v>
      </c>
      <c r="H20" s="66">
        <f t="shared" si="3"/>
        <v>10500</v>
      </c>
    </row>
    <row r="21" spans="2:8">
      <c r="B21" t="s">
        <v>27</v>
      </c>
      <c r="C21" t="s">
        <v>374</v>
      </c>
      <c r="D21" t="s">
        <v>5</v>
      </c>
      <c r="E21" s="329">
        <v>92</v>
      </c>
      <c r="F21" s="66">
        <f t="shared" si="4"/>
        <v>42000</v>
      </c>
      <c r="G21" s="268">
        <f t="shared" si="2"/>
        <v>4</v>
      </c>
      <c r="H21" s="66">
        <f t="shared" si="3"/>
        <v>10500</v>
      </c>
    </row>
    <row r="22" spans="2:8">
      <c r="B22" t="s">
        <v>27</v>
      </c>
      <c r="C22" t="s">
        <v>374</v>
      </c>
      <c r="D22" t="s">
        <v>5</v>
      </c>
      <c r="E22" s="164">
        <v>91</v>
      </c>
      <c r="F22" s="66">
        <f t="shared" si="4"/>
        <v>42000</v>
      </c>
      <c r="G22" s="268">
        <f t="shared" si="2"/>
        <v>4</v>
      </c>
      <c r="H22" s="66">
        <f t="shared" si="3"/>
        <v>10500</v>
      </c>
    </row>
    <row r="23" spans="2:8">
      <c r="B23" t="s">
        <v>27</v>
      </c>
      <c r="C23" t="s">
        <v>374</v>
      </c>
      <c r="D23" t="s">
        <v>5</v>
      </c>
      <c r="E23" s="329">
        <v>90</v>
      </c>
      <c r="F23" s="66">
        <f t="shared" si="4"/>
        <v>42000</v>
      </c>
      <c r="G23" s="268">
        <f t="shared" si="2"/>
        <v>4</v>
      </c>
      <c r="H23" s="66">
        <f t="shared" si="3"/>
        <v>10500</v>
      </c>
    </row>
    <row r="24" spans="2:8">
      <c r="B24" t="s">
        <v>27</v>
      </c>
      <c r="C24" t="s">
        <v>374</v>
      </c>
      <c r="D24" t="s">
        <v>5</v>
      </c>
      <c r="E24" s="329">
        <v>89</v>
      </c>
      <c r="F24" s="66">
        <f t="shared" si="4"/>
        <v>42000</v>
      </c>
      <c r="G24" s="268">
        <f t="shared" si="2"/>
        <v>4</v>
      </c>
      <c r="H24" s="66">
        <f t="shared" si="3"/>
        <v>10500</v>
      </c>
    </row>
    <row r="25" spans="2:8">
      <c r="B25" t="s">
        <v>27</v>
      </c>
      <c r="C25" t="s">
        <v>374</v>
      </c>
      <c r="D25" t="s">
        <v>5</v>
      </c>
      <c r="E25" s="164">
        <v>88</v>
      </c>
      <c r="F25" s="66">
        <f t="shared" si="4"/>
        <v>42000</v>
      </c>
      <c r="G25" s="268">
        <f t="shared" si="2"/>
        <v>4</v>
      </c>
      <c r="H25" s="66">
        <f t="shared" si="3"/>
        <v>10500</v>
      </c>
    </row>
    <row r="26" spans="2:8">
      <c r="B26" t="s">
        <v>27</v>
      </c>
      <c r="C26" t="s">
        <v>374</v>
      </c>
      <c r="D26" t="s">
        <v>5</v>
      </c>
      <c r="E26" s="329">
        <v>87</v>
      </c>
      <c r="F26" s="66">
        <f t="shared" si="4"/>
        <v>42000</v>
      </c>
      <c r="G26" s="268">
        <f t="shared" si="2"/>
        <v>4</v>
      </c>
      <c r="H26" s="66">
        <f t="shared" si="3"/>
        <v>10500</v>
      </c>
    </row>
    <row r="27" spans="2:8">
      <c r="B27" t="s">
        <v>27</v>
      </c>
      <c r="C27" t="s">
        <v>374</v>
      </c>
      <c r="D27" t="s">
        <v>5</v>
      </c>
      <c r="E27" s="329">
        <v>86</v>
      </c>
      <c r="F27" s="66">
        <f t="shared" si="4"/>
        <v>42000</v>
      </c>
      <c r="G27" s="268">
        <f t="shared" si="2"/>
        <v>4</v>
      </c>
      <c r="H27" s="66">
        <f t="shared" si="3"/>
        <v>10500</v>
      </c>
    </row>
    <row r="28" spans="2:8">
      <c r="B28" t="s">
        <v>27</v>
      </c>
      <c r="C28" t="s">
        <v>374</v>
      </c>
      <c r="D28" t="s">
        <v>5</v>
      </c>
      <c r="E28" s="164">
        <v>85</v>
      </c>
      <c r="F28" s="66">
        <f t="shared" si="4"/>
        <v>42000</v>
      </c>
      <c r="G28" s="268">
        <f t="shared" si="2"/>
        <v>4</v>
      </c>
      <c r="H28" s="66">
        <f t="shared" si="3"/>
        <v>10500</v>
      </c>
    </row>
    <row r="29" spans="2:8">
      <c r="B29" t="s">
        <v>27</v>
      </c>
      <c r="C29" t="s">
        <v>374</v>
      </c>
      <c r="D29" t="s">
        <v>5</v>
      </c>
      <c r="E29" s="329">
        <v>84</v>
      </c>
      <c r="F29" s="66">
        <f t="shared" si="4"/>
        <v>31500</v>
      </c>
      <c r="G29" s="268">
        <f t="shared" si="2"/>
        <v>3</v>
      </c>
      <c r="H29" s="66">
        <f t="shared" si="3"/>
        <v>10500</v>
      </c>
    </row>
    <row r="30" spans="2:8">
      <c r="B30" t="s">
        <v>27</v>
      </c>
      <c r="C30" t="s">
        <v>374</v>
      </c>
      <c r="D30" t="s">
        <v>5</v>
      </c>
      <c r="E30" s="329">
        <v>83</v>
      </c>
      <c r="F30" s="66">
        <f t="shared" si="4"/>
        <v>31500</v>
      </c>
      <c r="G30" s="268">
        <f t="shared" si="2"/>
        <v>3</v>
      </c>
      <c r="H30" s="66">
        <f t="shared" si="3"/>
        <v>10500</v>
      </c>
    </row>
    <row r="31" spans="2:8">
      <c r="B31" t="s">
        <v>27</v>
      </c>
      <c r="C31" t="s">
        <v>374</v>
      </c>
      <c r="D31" t="s">
        <v>5</v>
      </c>
      <c r="E31" s="164">
        <v>82</v>
      </c>
      <c r="F31" s="66">
        <f t="shared" si="4"/>
        <v>31500</v>
      </c>
      <c r="G31" s="268">
        <f t="shared" si="2"/>
        <v>3</v>
      </c>
      <c r="H31" s="66">
        <f t="shared" si="3"/>
        <v>10500</v>
      </c>
    </row>
    <row r="32" spans="2:8">
      <c r="B32" t="s">
        <v>27</v>
      </c>
      <c r="C32" t="s">
        <v>374</v>
      </c>
      <c r="D32" t="s">
        <v>5</v>
      </c>
      <c r="E32" s="329">
        <v>81</v>
      </c>
      <c r="F32" s="66">
        <f t="shared" si="4"/>
        <v>31500</v>
      </c>
      <c r="G32" s="268">
        <f t="shared" si="2"/>
        <v>3</v>
      </c>
      <c r="H32" s="66">
        <f t="shared" si="3"/>
        <v>10500</v>
      </c>
    </row>
    <row r="33" spans="2:8">
      <c r="B33" t="s">
        <v>27</v>
      </c>
      <c r="C33" t="s">
        <v>374</v>
      </c>
      <c r="D33" t="s">
        <v>5</v>
      </c>
      <c r="E33" s="329">
        <v>80</v>
      </c>
      <c r="F33" s="66">
        <f t="shared" si="4"/>
        <v>31500</v>
      </c>
      <c r="G33" s="268">
        <f t="shared" si="2"/>
        <v>3</v>
      </c>
      <c r="H33" s="66">
        <f t="shared" si="3"/>
        <v>10500</v>
      </c>
    </row>
    <row r="34" spans="2:8">
      <c r="B34" t="s">
        <v>27</v>
      </c>
      <c r="C34" t="s">
        <v>374</v>
      </c>
      <c r="D34" t="s">
        <v>5</v>
      </c>
      <c r="E34" s="164">
        <v>79</v>
      </c>
      <c r="F34" s="66">
        <f t="shared" si="4"/>
        <v>31500</v>
      </c>
      <c r="G34" s="268">
        <f t="shared" si="2"/>
        <v>3</v>
      </c>
      <c r="H34" s="66">
        <f t="shared" si="3"/>
        <v>10500</v>
      </c>
    </row>
    <row r="35" spans="2:8">
      <c r="B35" t="s">
        <v>27</v>
      </c>
      <c r="C35" t="s">
        <v>374</v>
      </c>
      <c r="D35" t="s">
        <v>5</v>
      </c>
      <c r="E35" s="329">
        <v>78</v>
      </c>
      <c r="F35" s="66">
        <f t="shared" si="4"/>
        <v>31500</v>
      </c>
      <c r="G35" s="268">
        <f t="shared" si="2"/>
        <v>3</v>
      </c>
      <c r="H35" s="66">
        <f t="shared" si="3"/>
        <v>10500</v>
      </c>
    </row>
    <row r="36" spans="2:8">
      <c r="B36" t="s">
        <v>27</v>
      </c>
      <c r="C36" t="s">
        <v>374</v>
      </c>
      <c r="D36" t="s">
        <v>5</v>
      </c>
      <c r="E36" s="329">
        <v>77</v>
      </c>
      <c r="F36" s="66">
        <f t="shared" si="4"/>
        <v>31500</v>
      </c>
      <c r="G36" s="268">
        <f t="shared" si="2"/>
        <v>3</v>
      </c>
      <c r="H36" s="66">
        <f t="shared" si="3"/>
        <v>10500</v>
      </c>
    </row>
    <row r="37" spans="2:8">
      <c r="B37" t="s">
        <v>27</v>
      </c>
      <c r="C37" t="s">
        <v>374</v>
      </c>
      <c r="D37" t="s">
        <v>5</v>
      </c>
      <c r="E37" s="164">
        <v>76</v>
      </c>
      <c r="F37" s="66">
        <f t="shared" si="4"/>
        <v>31500</v>
      </c>
      <c r="G37" s="268">
        <f t="shared" si="2"/>
        <v>3</v>
      </c>
      <c r="H37" s="66">
        <f t="shared" si="3"/>
        <v>10500</v>
      </c>
    </row>
    <row r="38" spans="2:8">
      <c r="B38" t="s">
        <v>27</v>
      </c>
      <c r="C38" t="s">
        <v>374</v>
      </c>
      <c r="D38" t="s">
        <v>5</v>
      </c>
      <c r="E38" s="329">
        <v>75</v>
      </c>
      <c r="F38" s="66">
        <f t="shared" si="4"/>
        <v>31500</v>
      </c>
      <c r="G38" s="268">
        <f t="shared" si="2"/>
        <v>3</v>
      </c>
      <c r="H38" s="66">
        <f t="shared" si="3"/>
        <v>10500</v>
      </c>
    </row>
    <row r="39" spans="2:8">
      <c r="B39" t="s">
        <v>27</v>
      </c>
      <c r="C39" t="s">
        <v>374</v>
      </c>
      <c r="D39" t="s">
        <v>5</v>
      </c>
      <c r="E39" s="329">
        <v>74</v>
      </c>
      <c r="F39" s="66">
        <f t="shared" si="4"/>
        <v>31500</v>
      </c>
      <c r="G39" s="268">
        <f t="shared" si="2"/>
        <v>3</v>
      </c>
      <c r="H39" s="66">
        <f t="shared" si="3"/>
        <v>10500</v>
      </c>
    </row>
    <row r="40" spans="2:8">
      <c r="B40" t="s">
        <v>27</v>
      </c>
      <c r="C40" t="s">
        <v>374</v>
      </c>
      <c r="D40" t="s">
        <v>5</v>
      </c>
      <c r="E40" s="164">
        <v>73</v>
      </c>
      <c r="F40" s="66">
        <f t="shared" si="4"/>
        <v>31500</v>
      </c>
      <c r="G40" s="268">
        <f t="shared" si="2"/>
        <v>3</v>
      </c>
      <c r="H40" s="66">
        <f t="shared" si="3"/>
        <v>10500</v>
      </c>
    </row>
    <row r="41" spans="2:8">
      <c r="B41" t="s">
        <v>27</v>
      </c>
      <c r="C41" t="s">
        <v>374</v>
      </c>
      <c r="D41" t="s">
        <v>5</v>
      </c>
      <c r="E41" s="329">
        <v>72</v>
      </c>
      <c r="F41" s="66">
        <f t="shared" si="4"/>
        <v>31500</v>
      </c>
      <c r="G41" s="268">
        <f t="shared" si="2"/>
        <v>3</v>
      </c>
      <c r="H41" s="66">
        <f t="shared" si="3"/>
        <v>10500</v>
      </c>
    </row>
    <row r="42" spans="2:8">
      <c r="B42" t="s">
        <v>27</v>
      </c>
      <c r="C42" t="s">
        <v>374</v>
      </c>
      <c r="D42" t="s">
        <v>5</v>
      </c>
      <c r="E42" s="329">
        <v>71</v>
      </c>
      <c r="F42" s="66">
        <f t="shared" si="4"/>
        <v>31500</v>
      </c>
      <c r="G42" s="268">
        <f t="shared" si="2"/>
        <v>3</v>
      </c>
      <c r="H42" s="66">
        <f t="shared" si="3"/>
        <v>10500</v>
      </c>
    </row>
    <row r="43" spans="2:8">
      <c r="B43" t="s">
        <v>27</v>
      </c>
      <c r="C43" t="s">
        <v>374</v>
      </c>
      <c r="D43" t="s">
        <v>5</v>
      </c>
      <c r="E43" s="164">
        <v>70</v>
      </c>
      <c r="F43" s="66">
        <f t="shared" si="4"/>
        <v>31500</v>
      </c>
      <c r="G43" s="268">
        <f t="shared" si="2"/>
        <v>3</v>
      </c>
      <c r="H43" s="66">
        <f t="shared" si="3"/>
        <v>10500</v>
      </c>
    </row>
    <row r="44" spans="2:8">
      <c r="B44" t="s">
        <v>27</v>
      </c>
      <c r="C44" t="s">
        <v>374</v>
      </c>
      <c r="D44" t="s">
        <v>5</v>
      </c>
      <c r="E44" s="329">
        <v>69</v>
      </c>
      <c r="F44" s="66">
        <f t="shared" si="4"/>
        <v>31500</v>
      </c>
      <c r="G44" s="268">
        <f t="shared" si="2"/>
        <v>3</v>
      </c>
      <c r="H44" s="66">
        <f t="shared" si="3"/>
        <v>10500</v>
      </c>
    </row>
    <row r="45" spans="2:8">
      <c r="B45" t="s">
        <v>27</v>
      </c>
      <c r="C45" t="s">
        <v>374</v>
      </c>
      <c r="D45" t="s">
        <v>5</v>
      </c>
      <c r="E45" s="329">
        <v>68</v>
      </c>
      <c r="F45" s="66">
        <f t="shared" si="4"/>
        <v>31500</v>
      </c>
      <c r="G45" s="268">
        <f t="shared" si="2"/>
        <v>3</v>
      </c>
      <c r="H45" s="66">
        <f t="shared" si="3"/>
        <v>10500</v>
      </c>
    </row>
    <row r="46" spans="2:8">
      <c r="B46" t="s">
        <v>27</v>
      </c>
      <c r="C46" t="s">
        <v>374</v>
      </c>
      <c r="D46" t="s">
        <v>5</v>
      </c>
      <c r="E46" s="164">
        <v>67</v>
      </c>
      <c r="F46" s="66">
        <f>H46*G46</f>
        <v>31500</v>
      </c>
      <c r="G46" s="268">
        <f t="shared" si="2"/>
        <v>3</v>
      </c>
      <c r="H46" s="66">
        <f t="shared" si="3"/>
        <v>10500</v>
      </c>
    </row>
    <row r="47" spans="2:8">
      <c r="B47" t="s">
        <v>27</v>
      </c>
      <c r="C47" t="s">
        <v>374</v>
      </c>
      <c r="D47" t="s">
        <v>5</v>
      </c>
      <c r="E47" s="329">
        <v>66</v>
      </c>
      <c r="F47" s="66">
        <f>H47*G47</f>
        <v>31500</v>
      </c>
      <c r="G47" s="268">
        <f t="shared" si="2"/>
        <v>3</v>
      </c>
      <c r="H47" s="66">
        <f t="shared" si="3"/>
        <v>10500</v>
      </c>
    </row>
    <row r="48" spans="2:8">
      <c r="B48" t="s">
        <v>27</v>
      </c>
      <c r="C48" t="s">
        <v>374</v>
      </c>
      <c r="D48" t="s">
        <v>5</v>
      </c>
      <c r="E48" s="329">
        <v>65</v>
      </c>
      <c r="F48" s="66">
        <f t="shared" si="4"/>
        <v>31500</v>
      </c>
      <c r="G48" s="268">
        <f t="shared" si="2"/>
        <v>3</v>
      </c>
      <c r="H48" s="66">
        <f t="shared" si="3"/>
        <v>10500</v>
      </c>
    </row>
    <row r="49" spans="2:8">
      <c r="B49" t="s">
        <v>27</v>
      </c>
      <c r="C49" t="s">
        <v>374</v>
      </c>
      <c r="D49" t="s">
        <v>5</v>
      </c>
      <c r="E49" s="164">
        <v>64</v>
      </c>
      <c r="F49" s="66">
        <f t="shared" si="4"/>
        <v>31500</v>
      </c>
      <c r="G49" s="268">
        <f t="shared" si="2"/>
        <v>3</v>
      </c>
      <c r="H49" s="66">
        <f t="shared" si="3"/>
        <v>10500</v>
      </c>
    </row>
    <row r="50" spans="2:8">
      <c r="B50" t="s">
        <v>27</v>
      </c>
      <c r="C50" t="s">
        <v>374</v>
      </c>
      <c r="D50" t="s">
        <v>5</v>
      </c>
      <c r="E50" s="329">
        <v>63</v>
      </c>
      <c r="F50" s="66">
        <f t="shared" si="4"/>
        <v>31500</v>
      </c>
      <c r="G50" s="268">
        <f t="shared" si="2"/>
        <v>3</v>
      </c>
      <c r="H50" s="66">
        <f t="shared" si="3"/>
        <v>10500</v>
      </c>
    </row>
    <row r="51" spans="2:8">
      <c r="B51" t="s">
        <v>27</v>
      </c>
      <c r="C51" t="s">
        <v>374</v>
      </c>
      <c r="D51" t="s">
        <v>5</v>
      </c>
      <c r="E51" s="329">
        <v>62</v>
      </c>
      <c r="F51" s="66">
        <f t="shared" si="4"/>
        <v>31500</v>
      </c>
      <c r="G51" s="268">
        <f t="shared" si="2"/>
        <v>3</v>
      </c>
      <c r="H51" s="66">
        <f t="shared" si="3"/>
        <v>10500</v>
      </c>
    </row>
    <row r="52" spans="2:8">
      <c r="B52" t="s">
        <v>27</v>
      </c>
      <c r="C52" t="s">
        <v>374</v>
      </c>
      <c r="D52" t="s">
        <v>5</v>
      </c>
      <c r="E52" s="164">
        <v>61</v>
      </c>
      <c r="F52" s="66">
        <f t="shared" si="4"/>
        <v>31500</v>
      </c>
      <c r="G52" s="268">
        <f t="shared" si="2"/>
        <v>3</v>
      </c>
      <c r="H52" s="66">
        <f t="shared" si="3"/>
        <v>10500</v>
      </c>
    </row>
    <row r="53" spans="2:8">
      <c r="B53" t="s">
        <v>27</v>
      </c>
      <c r="C53" t="s">
        <v>374</v>
      </c>
      <c r="D53" t="s">
        <v>5</v>
      </c>
      <c r="E53" s="329">
        <v>60</v>
      </c>
      <c r="F53" s="66">
        <f t="shared" si="4"/>
        <v>31500</v>
      </c>
      <c r="G53" s="268">
        <f t="shared" si="2"/>
        <v>3</v>
      </c>
      <c r="H53" s="66">
        <f t="shared" si="3"/>
        <v>10500</v>
      </c>
    </row>
    <row r="54" spans="2:8">
      <c r="B54" t="s">
        <v>27</v>
      </c>
      <c r="C54" t="s">
        <v>374</v>
      </c>
      <c r="D54" t="s">
        <v>5</v>
      </c>
      <c r="E54" s="329">
        <v>59</v>
      </c>
      <c r="F54" s="66">
        <f t="shared" si="4"/>
        <v>31500</v>
      </c>
      <c r="G54" s="268">
        <f t="shared" si="2"/>
        <v>3</v>
      </c>
      <c r="H54" s="66">
        <f t="shared" si="3"/>
        <v>10500</v>
      </c>
    </row>
    <row r="55" spans="2:8">
      <c r="B55" t="s">
        <v>27</v>
      </c>
      <c r="C55" t="s">
        <v>374</v>
      </c>
      <c r="D55" t="s">
        <v>5</v>
      </c>
      <c r="E55" s="164">
        <v>58</v>
      </c>
      <c r="F55" s="66">
        <f t="shared" si="4"/>
        <v>31500</v>
      </c>
      <c r="G55" s="268">
        <f t="shared" si="2"/>
        <v>3</v>
      </c>
      <c r="H55" s="66">
        <f t="shared" si="3"/>
        <v>10500</v>
      </c>
    </row>
    <row r="56" spans="2:8">
      <c r="B56" t="s">
        <v>27</v>
      </c>
      <c r="C56" t="s">
        <v>374</v>
      </c>
      <c r="D56" t="s">
        <v>5</v>
      </c>
      <c r="E56" s="329">
        <v>57</v>
      </c>
      <c r="F56" s="66">
        <f t="shared" si="4"/>
        <v>31500</v>
      </c>
      <c r="G56" s="268">
        <f t="shared" si="2"/>
        <v>3</v>
      </c>
      <c r="H56" s="66">
        <f t="shared" si="3"/>
        <v>10500</v>
      </c>
    </row>
    <row r="57" spans="2:8">
      <c r="B57" t="s">
        <v>27</v>
      </c>
      <c r="C57" t="s">
        <v>374</v>
      </c>
      <c r="D57" t="s">
        <v>5</v>
      </c>
      <c r="E57" s="329">
        <v>56</v>
      </c>
      <c r="F57" s="66">
        <f t="shared" si="4"/>
        <v>21000</v>
      </c>
      <c r="G57" s="268">
        <f t="shared" si="2"/>
        <v>2</v>
      </c>
      <c r="H57" s="66">
        <f t="shared" si="3"/>
        <v>10500</v>
      </c>
    </row>
    <row r="58" spans="2:8">
      <c r="B58" t="s">
        <v>27</v>
      </c>
      <c r="C58" t="s">
        <v>374</v>
      </c>
      <c r="D58" t="s">
        <v>5</v>
      </c>
      <c r="E58" s="164">
        <v>55</v>
      </c>
      <c r="F58" s="66">
        <f t="shared" si="4"/>
        <v>21000</v>
      </c>
      <c r="G58" s="268">
        <f t="shared" si="2"/>
        <v>2</v>
      </c>
      <c r="H58" s="66">
        <f t="shared" si="3"/>
        <v>10500</v>
      </c>
    </row>
    <row r="59" spans="2:8">
      <c r="B59" t="s">
        <v>27</v>
      </c>
      <c r="C59" t="s">
        <v>374</v>
      </c>
      <c r="D59" t="s">
        <v>5</v>
      </c>
      <c r="E59" s="329">
        <v>54</v>
      </c>
      <c r="F59" s="66">
        <f t="shared" si="4"/>
        <v>21000</v>
      </c>
      <c r="G59" s="268">
        <f t="shared" si="2"/>
        <v>2</v>
      </c>
      <c r="H59" s="66">
        <f t="shared" si="3"/>
        <v>10500</v>
      </c>
    </row>
    <row r="60" spans="2:8">
      <c r="B60" t="s">
        <v>27</v>
      </c>
      <c r="C60" t="s">
        <v>374</v>
      </c>
      <c r="D60" t="s">
        <v>5</v>
      </c>
      <c r="E60" s="329">
        <v>53</v>
      </c>
      <c r="F60" s="66">
        <f t="shared" si="4"/>
        <v>21000</v>
      </c>
      <c r="G60" s="268">
        <f t="shared" si="2"/>
        <v>2</v>
      </c>
      <c r="H60" s="66">
        <f t="shared" si="3"/>
        <v>10500</v>
      </c>
    </row>
    <row r="61" spans="2:8">
      <c r="B61" t="s">
        <v>27</v>
      </c>
      <c r="C61" t="s">
        <v>374</v>
      </c>
      <c r="D61" t="s">
        <v>5</v>
      </c>
      <c r="E61" s="164">
        <v>52</v>
      </c>
      <c r="F61" s="66">
        <f t="shared" si="4"/>
        <v>21000</v>
      </c>
      <c r="G61" s="268">
        <f t="shared" si="2"/>
        <v>2</v>
      </c>
      <c r="H61" s="66">
        <f t="shared" si="3"/>
        <v>10500</v>
      </c>
    </row>
    <row r="62" spans="2:8">
      <c r="B62" t="s">
        <v>27</v>
      </c>
      <c r="C62" t="s">
        <v>374</v>
      </c>
      <c r="D62" t="s">
        <v>5</v>
      </c>
      <c r="E62" s="329">
        <v>51</v>
      </c>
      <c r="F62" s="66">
        <f t="shared" si="4"/>
        <v>21000</v>
      </c>
      <c r="G62" s="268">
        <f t="shared" si="2"/>
        <v>2</v>
      </c>
      <c r="H62" s="66">
        <f t="shared" si="3"/>
        <v>10500</v>
      </c>
    </row>
    <row r="63" spans="2:8">
      <c r="B63" t="s">
        <v>27</v>
      </c>
      <c r="C63" t="s">
        <v>374</v>
      </c>
      <c r="D63" t="s">
        <v>5</v>
      </c>
      <c r="E63" s="329">
        <v>50</v>
      </c>
      <c r="F63" s="66">
        <f t="shared" si="4"/>
        <v>21000</v>
      </c>
      <c r="G63" s="268">
        <f t="shared" si="2"/>
        <v>2</v>
      </c>
      <c r="H63" s="66">
        <f t="shared" si="3"/>
        <v>10500</v>
      </c>
    </row>
    <row r="64" spans="2:8">
      <c r="B64" t="s">
        <v>27</v>
      </c>
      <c r="C64" t="s">
        <v>374</v>
      </c>
      <c r="D64" t="s">
        <v>5</v>
      </c>
      <c r="E64" s="164">
        <v>49</v>
      </c>
      <c r="F64" s="66">
        <f t="shared" si="4"/>
        <v>21000</v>
      </c>
      <c r="G64" s="268">
        <f t="shared" si="2"/>
        <v>2</v>
      </c>
      <c r="H64" s="66">
        <f t="shared" si="3"/>
        <v>10500</v>
      </c>
    </row>
    <row r="65" spans="2:8">
      <c r="B65" t="s">
        <v>27</v>
      </c>
      <c r="C65" t="s">
        <v>374</v>
      </c>
      <c r="D65" t="s">
        <v>5</v>
      </c>
      <c r="E65" s="329">
        <v>48</v>
      </c>
      <c r="F65" s="66">
        <f t="shared" si="4"/>
        <v>21000</v>
      </c>
      <c r="G65" s="268">
        <f t="shared" si="2"/>
        <v>2</v>
      </c>
      <c r="H65" s="66">
        <f t="shared" si="3"/>
        <v>10500</v>
      </c>
    </row>
    <row r="66" spans="2:8">
      <c r="B66" t="s">
        <v>27</v>
      </c>
      <c r="C66" t="s">
        <v>374</v>
      </c>
      <c r="D66" t="s">
        <v>5</v>
      </c>
      <c r="E66" s="329">
        <v>47</v>
      </c>
      <c r="F66" s="66">
        <f t="shared" si="4"/>
        <v>21000</v>
      </c>
      <c r="G66" s="268">
        <f t="shared" si="2"/>
        <v>2</v>
      </c>
      <c r="H66" s="66">
        <f t="shared" si="3"/>
        <v>10500</v>
      </c>
    </row>
    <row r="67" spans="2:8">
      <c r="B67" t="s">
        <v>27</v>
      </c>
      <c r="C67" t="s">
        <v>374</v>
      </c>
      <c r="D67" t="s">
        <v>5</v>
      </c>
      <c r="E67" s="164">
        <v>46</v>
      </c>
      <c r="F67" s="66">
        <f t="shared" si="4"/>
        <v>21000</v>
      </c>
      <c r="G67" s="268">
        <f t="shared" si="2"/>
        <v>2</v>
      </c>
      <c r="H67" s="66">
        <f t="shared" si="3"/>
        <v>10500</v>
      </c>
    </row>
    <row r="68" spans="2:8">
      <c r="B68" t="s">
        <v>27</v>
      </c>
      <c r="C68" t="s">
        <v>374</v>
      </c>
      <c r="D68" t="s">
        <v>5</v>
      </c>
      <c r="E68" s="329">
        <v>45</v>
      </c>
      <c r="F68" s="66">
        <f t="shared" si="4"/>
        <v>21000</v>
      </c>
      <c r="G68" s="268">
        <f t="shared" si="2"/>
        <v>2</v>
      </c>
      <c r="H68" s="66">
        <f t="shared" si="3"/>
        <v>10500</v>
      </c>
    </row>
    <row r="69" spans="2:8">
      <c r="B69" t="s">
        <v>27</v>
      </c>
      <c r="C69" t="s">
        <v>374</v>
      </c>
      <c r="D69" t="s">
        <v>5</v>
      </c>
      <c r="E69" s="329">
        <v>44</v>
      </c>
      <c r="F69" s="66">
        <f t="shared" si="4"/>
        <v>21000</v>
      </c>
      <c r="G69" s="268">
        <f t="shared" si="2"/>
        <v>2</v>
      </c>
      <c r="H69" s="66">
        <f t="shared" si="3"/>
        <v>10500</v>
      </c>
    </row>
    <row r="70" spans="2:8">
      <c r="B70" t="s">
        <v>27</v>
      </c>
      <c r="C70" t="s">
        <v>374</v>
      </c>
      <c r="D70" t="s">
        <v>5</v>
      </c>
      <c r="E70" s="164">
        <v>43</v>
      </c>
      <c r="F70" s="66">
        <f t="shared" si="4"/>
        <v>21000</v>
      </c>
      <c r="G70" s="268">
        <f t="shared" si="2"/>
        <v>2</v>
      </c>
      <c r="H70" s="66">
        <f t="shared" si="3"/>
        <v>10500</v>
      </c>
    </row>
    <row r="71" spans="2:8">
      <c r="B71" t="s">
        <v>27</v>
      </c>
      <c r="C71" t="s">
        <v>374</v>
      </c>
      <c r="D71" t="s">
        <v>5</v>
      </c>
      <c r="E71" s="329">
        <v>42</v>
      </c>
      <c r="F71" s="66">
        <f t="shared" ref="F71:F113" si="5">H71*G71</f>
        <v>21000</v>
      </c>
      <c r="G71" s="268">
        <f t="shared" si="2"/>
        <v>2</v>
      </c>
      <c r="H71" s="66">
        <f t="shared" si="3"/>
        <v>10500</v>
      </c>
    </row>
    <row r="72" spans="2:8">
      <c r="B72" t="s">
        <v>27</v>
      </c>
      <c r="C72" t="s">
        <v>374</v>
      </c>
      <c r="D72" t="s">
        <v>5</v>
      </c>
      <c r="E72" s="329">
        <v>41</v>
      </c>
      <c r="F72" s="66">
        <f t="shared" si="5"/>
        <v>21000</v>
      </c>
      <c r="G72" s="268">
        <f t="shared" si="2"/>
        <v>2</v>
      </c>
      <c r="H72" s="66">
        <f t="shared" si="3"/>
        <v>10500</v>
      </c>
    </row>
    <row r="73" spans="2:8">
      <c r="B73" t="s">
        <v>27</v>
      </c>
      <c r="C73" t="s">
        <v>374</v>
      </c>
      <c r="D73" t="s">
        <v>5</v>
      </c>
      <c r="E73" s="164">
        <v>40</v>
      </c>
      <c r="F73" s="66">
        <f t="shared" si="5"/>
        <v>21000</v>
      </c>
      <c r="G73" s="268">
        <f t="shared" si="2"/>
        <v>2</v>
      </c>
      <c r="H73" s="66">
        <f t="shared" si="3"/>
        <v>10500</v>
      </c>
    </row>
    <row r="74" spans="2:8">
      <c r="B74" t="s">
        <v>27</v>
      </c>
      <c r="C74" t="s">
        <v>374</v>
      </c>
      <c r="D74" t="s">
        <v>5</v>
      </c>
      <c r="E74" s="329">
        <v>39</v>
      </c>
      <c r="F74" s="66">
        <f t="shared" si="5"/>
        <v>21000</v>
      </c>
      <c r="G74" s="268">
        <f t="shared" si="2"/>
        <v>2</v>
      </c>
      <c r="H74" s="66">
        <f t="shared" si="3"/>
        <v>10500</v>
      </c>
    </row>
    <row r="75" spans="2:8">
      <c r="B75" t="s">
        <v>27</v>
      </c>
      <c r="C75" t="s">
        <v>374</v>
      </c>
      <c r="D75" t="s">
        <v>5</v>
      </c>
      <c r="E75" s="329">
        <v>38</v>
      </c>
      <c r="F75" s="66">
        <f t="shared" si="5"/>
        <v>21000</v>
      </c>
      <c r="G75" s="268">
        <f t="shared" si="2"/>
        <v>2</v>
      </c>
      <c r="H75" s="66">
        <f t="shared" si="3"/>
        <v>10500</v>
      </c>
    </row>
    <row r="76" spans="2:8">
      <c r="B76" t="s">
        <v>27</v>
      </c>
      <c r="C76" t="s">
        <v>374</v>
      </c>
      <c r="D76" t="s">
        <v>5</v>
      </c>
      <c r="E76" s="164">
        <v>37</v>
      </c>
      <c r="F76" s="66">
        <f t="shared" si="5"/>
        <v>21000</v>
      </c>
      <c r="G76" s="268">
        <f t="shared" si="2"/>
        <v>2</v>
      </c>
      <c r="H76" s="66">
        <f t="shared" si="3"/>
        <v>10500</v>
      </c>
    </row>
    <row r="77" spans="2:8">
      <c r="B77" t="s">
        <v>27</v>
      </c>
      <c r="C77" t="s">
        <v>374</v>
      </c>
      <c r="D77" t="s">
        <v>5</v>
      </c>
      <c r="E77" s="329">
        <v>36</v>
      </c>
      <c r="F77" s="66">
        <f t="shared" si="5"/>
        <v>21000</v>
      </c>
      <c r="G77" s="268">
        <f t="shared" si="2"/>
        <v>2</v>
      </c>
      <c r="H77" s="66">
        <f t="shared" si="3"/>
        <v>10500</v>
      </c>
    </row>
    <row r="78" spans="2:8">
      <c r="B78" t="s">
        <v>27</v>
      </c>
      <c r="C78" t="s">
        <v>374</v>
      </c>
      <c r="D78" t="s">
        <v>5</v>
      </c>
      <c r="E78" s="329">
        <v>35</v>
      </c>
      <c r="F78" s="66">
        <f t="shared" si="5"/>
        <v>21000</v>
      </c>
      <c r="G78" s="268">
        <f t="shared" ref="G78:G113" si="6">ROUNDUP(E78/$C$7,0)</f>
        <v>2</v>
      </c>
      <c r="H78" s="66">
        <f t="shared" ref="H78:H113" si="7">$H$3</f>
        <v>10500</v>
      </c>
    </row>
    <row r="79" spans="2:8">
      <c r="B79" t="s">
        <v>27</v>
      </c>
      <c r="C79" t="s">
        <v>374</v>
      </c>
      <c r="D79" t="s">
        <v>5</v>
      </c>
      <c r="E79" s="164">
        <v>34</v>
      </c>
      <c r="F79" s="66">
        <f t="shared" si="5"/>
        <v>21000</v>
      </c>
      <c r="G79" s="268">
        <f t="shared" si="6"/>
        <v>2</v>
      </c>
      <c r="H79" s="66">
        <f t="shared" si="7"/>
        <v>10500</v>
      </c>
    </row>
    <row r="80" spans="2:8">
      <c r="B80" t="s">
        <v>27</v>
      </c>
      <c r="C80" t="s">
        <v>374</v>
      </c>
      <c r="D80" t="s">
        <v>5</v>
      </c>
      <c r="E80" s="329">
        <v>33</v>
      </c>
      <c r="F80" s="66">
        <f t="shared" si="5"/>
        <v>21000</v>
      </c>
      <c r="G80" s="268">
        <f t="shared" si="6"/>
        <v>2</v>
      </c>
      <c r="H80" s="66">
        <f t="shared" si="7"/>
        <v>10500</v>
      </c>
    </row>
    <row r="81" spans="2:8">
      <c r="B81" t="s">
        <v>27</v>
      </c>
      <c r="C81" t="s">
        <v>374</v>
      </c>
      <c r="D81" t="s">
        <v>5</v>
      </c>
      <c r="E81" s="329">
        <v>32</v>
      </c>
      <c r="F81" s="66">
        <f t="shared" si="5"/>
        <v>21000</v>
      </c>
      <c r="G81" s="268">
        <f t="shared" si="6"/>
        <v>2</v>
      </c>
      <c r="H81" s="66">
        <f t="shared" si="7"/>
        <v>10500</v>
      </c>
    </row>
    <row r="82" spans="2:8">
      <c r="B82" t="s">
        <v>27</v>
      </c>
      <c r="C82" t="s">
        <v>374</v>
      </c>
      <c r="D82" t="s">
        <v>5</v>
      </c>
      <c r="E82" s="164">
        <v>31</v>
      </c>
      <c r="F82" s="66">
        <f t="shared" si="5"/>
        <v>21000</v>
      </c>
      <c r="G82" s="268">
        <f t="shared" si="6"/>
        <v>2</v>
      </c>
      <c r="H82" s="66">
        <f t="shared" si="7"/>
        <v>10500</v>
      </c>
    </row>
    <row r="83" spans="2:8">
      <c r="B83" t="s">
        <v>27</v>
      </c>
      <c r="C83" t="s">
        <v>374</v>
      </c>
      <c r="D83" t="s">
        <v>5</v>
      </c>
      <c r="E83" s="329">
        <v>30</v>
      </c>
      <c r="F83" s="66">
        <f t="shared" si="5"/>
        <v>21000</v>
      </c>
      <c r="G83" s="268">
        <f t="shared" si="6"/>
        <v>2</v>
      </c>
      <c r="H83" s="66">
        <f t="shared" si="7"/>
        <v>10500</v>
      </c>
    </row>
    <row r="84" spans="2:8">
      <c r="B84" t="s">
        <v>27</v>
      </c>
      <c r="C84" t="s">
        <v>374</v>
      </c>
      <c r="D84" t="s">
        <v>5</v>
      </c>
      <c r="E84" s="329">
        <v>29</v>
      </c>
      <c r="F84" s="66">
        <f t="shared" si="5"/>
        <v>21000</v>
      </c>
      <c r="G84" s="268">
        <f t="shared" si="6"/>
        <v>2</v>
      </c>
      <c r="H84" s="66">
        <f t="shared" si="7"/>
        <v>10500</v>
      </c>
    </row>
    <row r="85" spans="2:8">
      <c r="B85" t="s">
        <v>27</v>
      </c>
      <c r="C85" t="s">
        <v>374</v>
      </c>
      <c r="D85" t="s">
        <v>5</v>
      </c>
      <c r="E85" s="164">
        <v>28</v>
      </c>
      <c r="F85" s="66">
        <f t="shared" si="5"/>
        <v>10500</v>
      </c>
      <c r="G85" s="268">
        <f t="shared" si="6"/>
        <v>1</v>
      </c>
      <c r="H85" s="66">
        <f t="shared" si="7"/>
        <v>10500</v>
      </c>
    </row>
    <row r="86" spans="2:8">
      <c r="B86" t="s">
        <v>27</v>
      </c>
      <c r="C86" t="s">
        <v>374</v>
      </c>
      <c r="D86" t="s">
        <v>5</v>
      </c>
      <c r="E86" s="329">
        <v>27</v>
      </c>
      <c r="F86" s="66">
        <f t="shared" si="5"/>
        <v>10500</v>
      </c>
      <c r="G86" s="268">
        <f t="shared" si="6"/>
        <v>1</v>
      </c>
      <c r="H86" s="66">
        <f t="shared" si="7"/>
        <v>10500</v>
      </c>
    </row>
    <row r="87" spans="2:8">
      <c r="B87" t="s">
        <v>27</v>
      </c>
      <c r="C87" t="s">
        <v>374</v>
      </c>
      <c r="D87" t="s">
        <v>5</v>
      </c>
      <c r="E87" s="329">
        <v>26</v>
      </c>
      <c r="F87" s="66">
        <f t="shared" si="5"/>
        <v>10500</v>
      </c>
      <c r="G87" s="268">
        <f t="shared" si="6"/>
        <v>1</v>
      </c>
      <c r="H87" s="66">
        <f t="shared" si="7"/>
        <v>10500</v>
      </c>
    </row>
    <row r="88" spans="2:8">
      <c r="B88" t="s">
        <v>27</v>
      </c>
      <c r="C88" t="s">
        <v>374</v>
      </c>
      <c r="D88" t="s">
        <v>5</v>
      </c>
      <c r="E88" s="164">
        <v>25</v>
      </c>
      <c r="F88" s="66">
        <f t="shared" si="5"/>
        <v>10500</v>
      </c>
      <c r="G88" s="268">
        <f t="shared" si="6"/>
        <v>1</v>
      </c>
      <c r="H88" s="66">
        <f t="shared" si="7"/>
        <v>10500</v>
      </c>
    </row>
    <row r="89" spans="2:8">
      <c r="B89" t="s">
        <v>27</v>
      </c>
      <c r="C89" t="s">
        <v>374</v>
      </c>
      <c r="D89" t="s">
        <v>5</v>
      </c>
      <c r="E89" s="329">
        <v>24</v>
      </c>
      <c r="F89" s="66">
        <f t="shared" si="5"/>
        <v>10500</v>
      </c>
      <c r="G89" s="268">
        <f t="shared" si="6"/>
        <v>1</v>
      </c>
      <c r="H89" s="66">
        <f t="shared" si="7"/>
        <v>10500</v>
      </c>
    </row>
    <row r="90" spans="2:8">
      <c r="B90" t="s">
        <v>27</v>
      </c>
      <c r="C90" t="s">
        <v>374</v>
      </c>
      <c r="D90" t="s">
        <v>5</v>
      </c>
      <c r="E90" s="329">
        <v>23</v>
      </c>
      <c r="F90" s="66">
        <f t="shared" si="5"/>
        <v>10500</v>
      </c>
      <c r="G90" s="268">
        <f t="shared" si="6"/>
        <v>1</v>
      </c>
      <c r="H90" s="66">
        <f t="shared" si="7"/>
        <v>10500</v>
      </c>
    </row>
    <row r="91" spans="2:8">
      <c r="B91" t="s">
        <v>27</v>
      </c>
      <c r="C91" t="s">
        <v>374</v>
      </c>
      <c r="D91" t="s">
        <v>5</v>
      </c>
      <c r="E91" s="164">
        <v>22</v>
      </c>
      <c r="F91" s="66">
        <f t="shared" si="5"/>
        <v>10500</v>
      </c>
      <c r="G91" s="268">
        <f t="shared" si="6"/>
        <v>1</v>
      </c>
      <c r="H91" s="66">
        <f t="shared" si="7"/>
        <v>10500</v>
      </c>
    </row>
    <row r="92" spans="2:8">
      <c r="B92" t="s">
        <v>27</v>
      </c>
      <c r="C92" t="s">
        <v>374</v>
      </c>
      <c r="D92" t="s">
        <v>5</v>
      </c>
      <c r="E92" s="329">
        <v>21</v>
      </c>
      <c r="F92" s="66">
        <f t="shared" si="5"/>
        <v>10500</v>
      </c>
      <c r="G92" s="268">
        <f t="shared" si="6"/>
        <v>1</v>
      </c>
      <c r="H92" s="66">
        <f t="shared" si="7"/>
        <v>10500</v>
      </c>
    </row>
    <row r="93" spans="2:8">
      <c r="B93" t="s">
        <v>27</v>
      </c>
      <c r="C93" t="s">
        <v>374</v>
      </c>
      <c r="D93" t="s">
        <v>5</v>
      </c>
      <c r="E93" s="329">
        <v>20</v>
      </c>
      <c r="F93" s="66">
        <f t="shared" si="5"/>
        <v>10500</v>
      </c>
      <c r="G93" s="268">
        <f t="shared" si="6"/>
        <v>1</v>
      </c>
      <c r="H93" s="66">
        <f t="shared" si="7"/>
        <v>10500</v>
      </c>
    </row>
    <row r="94" spans="2:8">
      <c r="B94" t="s">
        <v>27</v>
      </c>
      <c r="C94" t="s">
        <v>374</v>
      </c>
      <c r="D94" t="s">
        <v>5</v>
      </c>
      <c r="E94" s="164">
        <v>19</v>
      </c>
      <c r="F94" s="66">
        <f t="shared" si="5"/>
        <v>10500</v>
      </c>
      <c r="G94" s="268">
        <f t="shared" si="6"/>
        <v>1</v>
      </c>
      <c r="H94" s="66">
        <f t="shared" si="7"/>
        <v>10500</v>
      </c>
    </row>
    <row r="95" spans="2:8">
      <c r="B95" t="s">
        <v>27</v>
      </c>
      <c r="C95" t="s">
        <v>374</v>
      </c>
      <c r="D95" t="s">
        <v>5</v>
      </c>
      <c r="E95" s="329">
        <v>18</v>
      </c>
      <c r="F95" s="66">
        <f t="shared" si="5"/>
        <v>10500</v>
      </c>
      <c r="G95" s="268">
        <f t="shared" si="6"/>
        <v>1</v>
      </c>
      <c r="H95" s="66">
        <f t="shared" si="7"/>
        <v>10500</v>
      </c>
    </row>
    <row r="96" spans="2:8">
      <c r="B96" t="s">
        <v>27</v>
      </c>
      <c r="C96" t="s">
        <v>374</v>
      </c>
      <c r="D96" t="s">
        <v>5</v>
      </c>
      <c r="E96" s="329">
        <v>17</v>
      </c>
      <c r="F96" s="66">
        <f t="shared" si="5"/>
        <v>10500</v>
      </c>
      <c r="G96" s="268">
        <f t="shared" si="6"/>
        <v>1</v>
      </c>
      <c r="H96" s="66">
        <f t="shared" si="7"/>
        <v>10500</v>
      </c>
    </row>
    <row r="97" spans="2:8">
      <c r="B97" t="s">
        <v>27</v>
      </c>
      <c r="C97" t="s">
        <v>374</v>
      </c>
      <c r="D97" t="s">
        <v>5</v>
      </c>
      <c r="E97" s="164">
        <v>16</v>
      </c>
      <c r="F97" s="66">
        <f t="shared" si="5"/>
        <v>10500</v>
      </c>
      <c r="G97" s="268">
        <f t="shared" si="6"/>
        <v>1</v>
      </c>
      <c r="H97" s="66">
        <f t="shared" si="7"/>
        <v>10500</v>
      </c>
    </row>
    <row r="98" spans="2:8">
      <c r="B98" t="s">
        <v>27</v>
      </c>
      <c r="C98" t="s">
        <v>374</v>
      </c>
      <c r="D98" t="s">
        <v>5</v>
      </c>
      <c r="E98" s="329">
        <v>15</v>
      </c>
      <c r="F98" s="66">
        <f t="shared" si="5"/>
        <v>10500</v>
      </c>
      <c r="G98" s="268">
        <f t="shared" si="6"/>
        <v>1</v>
      </c>
      <c r="H98" s="66">
        <f t="shared" si="7"/>
        <v>10500</v>
      </c>
    </row>
    <row r="99" spans="2:8">
      <c r="B99" t="s">
        <v>27</v>
      </c>
      <c r="C99" t="s">
        <v>374</v>
      </c>
      <c r="D99" t="s">
        <v>5</v>
      </c>
      <c r="E99" s="329">
        <v>14</v>
      </c>
      <c r="F99" s="66">
        <f t="shared" si="5"/>
        <v>10500</v>
      </c>
      <c r="G99" s="268">
        <f t="shared" si="6"/>
        <v>1</v>
      </c>
      <c r="H99" s="66">
        <f t="shared" si="7"/>
        <v>10500</v>
      </c>
    </row>
    <row r="100" spans="2:8">
      <c r="B100" t="s">
        <v>27</v>
      </c>
      <c r="C100" t="s">
        <v>374</v>
      </c>
      <c r="D100" t="s">
        <v>5</v>
      </c>
      <c r="E100" s="164">
        <v>13</v>
      </c>
      <c r="F100" s="66">
        <f t="shared" si="5"/>
        <v>10500</v>
      </c>
      <c r="G100" s="268">
        <f t="shared" si="6"/>
        <v>1</v>
      </c>
      <c r="H100" s="66">
        <f t="shared" si="7"/>
        <v>10500</v>
      </c>
    </row>
    <row r="101" spans="2:8">
      <c r="B101" t="s">
        <v>27</v>
      </c>
      <c r="C101" t="s">
        <v>374</v>
      </c>
      <c r="D101" t="s">
        <v>5</v>
      </c>
      <c r="E101" s="329">
        <v>12</v>
      </c>
      <c r="F101" s="66">
        <f t="shared" si="5"/>
        <v>10500</v>
      </c>
      <c r="G101" s="268">
        <f t="shared" si="6"/>
        <v>1</v>
      </c>
      <c r="H101" s="66">
        <f t="shared" si="7"/>
        <v>10500</v>
      </c>
    </row>
    <row r="102" spans="2:8">
      <c r="B102" t="s">
        <v>27</v>
      </c>
      <c r="C102" t="s">
        <v>374</v>
      </c>
      <c r="D102" t="s">
        <v>5</v>
      </c>
      <c r="E102" s="329">
        <v>11</v>
      </c>
      <c r="F102" s="66">
        <f t="shared" si="5"/>
        <v>10500</v>
      </c>
      <c r="G102" s="268">
        <f t="shared" si="6"/>
        <v>1</v>
      </c>
      <c r="H102" s="66">
        <f t="shared" si="7"/>
        <v>10500</v>
      </c>
    </row>
    <row r="103" spans="2:8">
      <c r="B103" t="s">
        <v>27</v>
      </c>
      <c r="C103" t="s">
        <v>374</v>
      </c>
      <c r="D103" t="s">
        <v>5</v>
      </c>
      <c r="E103" s="164">
        <v>10</v>
      </c>
      <c r="F103" s="66">
        <f t="shared" si="5"/>
        <v>10500</v>
      </c>
      <c r="G103" s="268">
        <f t="shared" si="6"/>
        <v>1</v>
      </c>
      <c r="H103" s="66">
        <f t="shared" si="7"/>
        <v>10500</v>
      </c>
    </row>
    <row r="104" spans="2:8">
      <c r="B104" t="s">
        <v>27</v>
      </c>
      <c r="C104" t="s">
        <v>374</v>
      </c>
      <c r="D104" t="s">
        <v>5</v>
      </c>
      <c r="E104" s="329">
        <v>9</v>
      </c>
      <c r="F104" s="66">
        <f t="shared" si="5"/>
        <v>10500</v>
      </c>
      <c r="G104" s="268">
        <f t="shared" si="6"/>
        <v>1</v>
      </c>
      <c r="H104" s="66">
        <f t="shared" si="7"/>
        <v>10500</v>
      </c>
    </row>
    <row r="105" spans="2:8">
      <c r="B105" t="s">
        <v>27</v>
      </c>
      <c r="C105" t="s">
        <v>374</v>
      </c>
      <c r="D105" t="s">
        <v>5</v>
      </c>
      <c r="E105" s="329">
        <v>8</v>
      </c>
      <c r="F105" s="66">
        <f t="shared" si="5"/>
        <v>10500</v>
      </c>
      <c r="G105" s="268">
        <f t="shared" si="6"/>
        <v>1</v>
      </c>
      <c r="H105" s="66">
        <f t="shared" si="7"/>
        <v>10500</v>
      </c>
    </row>
    <row r="106" spans="2:8">
      <c r="B106" t="s">
        <v>27</v>
      </c>
      <c r="C106" t="s">
        <v>374</v>
      </c>
      <c r="D106" t="s">
        <v>5</v>
      </c>
      <c r="E106" s="164">
        <v>7</v>
      </c>
      <c r="F106" s="66">
        <f t="shared" si="5"/>
        <v>10500</v>
      </c>
      <c r="G106" s="268">
        <f t="shared" si="6"/>
        <v>1</v>
      </c>
      <c r="H106" s="66">
        <f t="shared" si="7"/>
        <v>10500</v>
      </c>
    </row>
    <row r="107" spans="2:8">
      <c r="B107" t="s">
        <v>27</v>
      </c>
      <c r="C107" t="s">
        <v>374</v>
      </c>
      <c r="D107" t="s">
        <v>5</v>
      </c>
      <c r="E107" s="329">
        <v>6</v>
      </c>
      <c r="F107" s="66">
        <f t="shared" si="5"/>
        <v>10500</v>
      </c>
      <c r="G107" s="268">
        <f t="shared" si="6"/>
        <v>1</v>
      </c>
      <c r="H107" s="66">
        <f t="shared" si="7"/>
        <v>10500</v>
      </c>
    </row>
    <row r="108" spans="2:8">
      <c r="B108" t="s">
        <v>27</v>
      </c>
      <c r="C108" t="s">
        <v>374</v>
      </c>
      <c r="D108" t="s">
        <v>5</v>
      </c>
      <c r="E108" s="329">
        <v>5</v>
      </c>
      <c r="F108" s="66">
        <f t="shared" si="5"/>
        <v>10500</v>
      </c>
      <c r="G108" s="268">
        <f t="shared" si="6"/>
        <v>1</v>
      </c>
      <c r="H108" s="66">
        <f t="shared" si="7"/>
        <v>10500</v>
      </c>
    </row>
    <row r="109" spans="2:8">
      <c r="B109" t="s">
        <v>27</v>
      </c>
      <c r="C109" t="s">
        <v>374</v>
      </c>
      <c r="D109" t="s">
        <v>5</v>
      </c>
      <c r="E109" s="164">
        <v>4</v>
      </c>
      <c r="F109" s="66">
        <f t="shared" si="5"/>
        <v>10500</v>
      </c>
      <c r="G109" s="268">
        <f t="shared" si="6"/>
        <v>1</v>
      </c>
      <c r="H109" s="66">
        <f t="shared" si="7"/>
        <v>10500</v>
      </c>
    </row>
    <row r="110" spans="2:8">
      <c r="B110" t="s">
        <v>27</v>
      </c>
      <c r="C110" t="s">
        <v>374</v>
      </c>
      <c r="D110" t="s">
        <v>5</v>
      </c>
      <c r="E110" s="329">
        <v>3</v>
      </c>
      <c r="F110" s="66">
        <f t="shared" si="5"/>
        <v>10500</v>
      </c>
      <c r="G110" s="268">
        <f t="shared" si="6"/>
        <v>1</v>
      </c>
      <c r="H110" s="66">
        <f t="shared" si="7"/>
        <v>10500</v>
      </c>
    </row>
    <row r="111" spans="2:8">
      <c r="B111" t="s">
        <v>27</v>
      </c>
      <c r="C111" t="s">
        <v>374</v>
      </c>
      <c r="D111" t="s">
        <v>5</v>
      </c>
      <c r="E111" s="329">
        <v>2</v>
      </c>
      <c r="F111" s="66">
        <f t="shared" si="5"/>
        <v>10500</v>
      </c>
      <c r="G111" s="268">
        <f t="shared" si="6"/>
        <v>1</v>
      </c>
      <c r="H111" s="66">
        <f t="shared" si="7"/>
        <v>10500</v>
      </c>
    </row>
    <row r="112" spans="2:8">
      <c r="B112" t="s">
        <v>27</v>
      </c>
      <c r="C112" t="s">
        <v>374</v>
      </c>
      <c r="D112" t="s">
        <v>5</v>
      </c>
      <c r="E112" s="164">
        <v>1</v>
      </c>
      <c r="F112" s="66">
        <f t="shared" si="5"/>
        <v>10500</v>
      </c>
      <c r="G112" s="268">
        <f t="shared" si="6"/>
        <v>1</v>
      </c>
      <c r="H112" s="66">
        <f t="shared" si="7"/>
        <v>10500</v>
      </c>
    </row>
    <row r="113" spans="2:8">
      <c r="B113" t="s">
        <v>27</v>
      </c>
      <c r="C113" t="s">
        <v>374</v>
      </c>
      <c r="D113" t="s">
        <v>5</v>
      </c>
      <c r="E113" s="329">
        <v>0</v>
      </c>
      <c r="F113" s="66">
        <f t="shared" si="5"/>
        <v>0</v>
      </c>
      <c r="G113" s="268">
        <f t="shared" si="6"/>
        <v>0</v>
      </c>
      <c r="H113" s="66">
        <f t="shared" si="7"/>
        <v>10500</v>
      </c>
    </row>
  </sheetData>
  <phoneticPr fontId="54" type="noConversion"/>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01607-EDB3-4CE7-9B04-EAEA81EDAC1C}">
  <sheetPr codeName="Sheet6"/>
  <dimension ref="A1:AR82"/>
  <sheetViews>
    <sheetView workbookViewId="0">
      <selection activeCell="AA9" sqref="AA9"/>
    </sheetView>
  </sheetViews>
  <sheetFormatPr defaultColWidth="9.140625" defaultRowHeight="15"/>
  <cols>
    <col min="1" max="1" width="7" style="57" bestFit="1" customWidth="1"/>
    <col min="2" max="2" width="1" style="57" customWidth="1"/>
    <col min="3" max="3" width="2.85546875" style="57" customWidth="1"/>
    <col min="4" max="4" width="1.85546875" style="57" customWidth="1"/>
    <col min="5" max="5" width="5.85546875" style="57" customWidth="1"/>
    <col min="6" max="7" width="1" style="57" customWidth="1"/>
    <col min="8" max="8" width="14.85546875" style="57" customWidth="1"/>
    <col min="9" max="9" width="13.85546875" style="57" customWidth="1"/>
    <col min="10" max="10" width="10.85546875" style="57" customWidth="1"/>
    <col min="11" max="11" width="5" style="57" customWidth="1"/>
    <col min="12" max="13" width="1.85546875" style="57" customWidth="1"/>
    <col min="14" max="14" width="13.85546875" style="57" customWidth="1"/>
    <col min="15" max="15" width="1" style="57" customWidth="1"/>
    <col min="16" max="16" width="12" style="57" customWidth="1"/>
    <col min="17" max="17" width="1" style="57" customWidth="1"/>
    <col min="18" max="18" width="9" style="57" customWidth="1"/>
    <col min="19" max="19" width="1.85546875" style="57" customWidth="1"/>
    <col min="20" max="20" width="13.42578125" style="57" customWidth="1"/>
    <col min="21" max="21" width="4.5703125" style="57" customWidth="1"/>
    <col min="22" max="22" width="1.85546875" style="57" customWidth="1"/>
    <col min="23" max="23" width="2.85546875" style="57" customWidth="1"/>
    <col min="24" max="25" width="9.140625" style="57"/>
    <col min="26" max="26" width="21.28515625" style="57" bestFit="1" customWidth="1"/>
    <col min="27" max="27" width="12.42578125" style="57" bestFit="1" customWidth="1"/>
    <col min="28" max="28" width="21.42578125" style="57" bestFit="1" customWidth="1"/>
    <col min="29" max="29" width="9.140625" style="57"/>
    <col min="30" max="31" width="12.5703125" style="57" bestFit="1" customWidth="1"/>
    <col min="32" max="16384" width="9.140625" style="57"/>
  </cols>
  <sheetData>
    <row r="1" spans="1:31">
      <c r="A1" s="612" t="s">
        <v>30</v>
      </c>
      <c r="B1" s="612"/>
      <c r="C1" s="612"/>
      <c r="D1" s="612" t="s">
        <v>31</v>
      </c>
      <c r="E1" s="612"/>
      <c r="F1" s="612"/>
      <c r="G1" s="612"/>
      <c r="H1" s="612" t="s">
        <v>32</v>
      </c>
      <c r="I1" s="612"/>
      <c r="J1" s="612"/>
      <c r="K1" s="612"/>
      <c r="L1" s="612"/>
      <c r="M1" s="612"/>
      <c r="N1" s="612" t="s">
        <v>33</v>
      </c>
      <c r="O1" s="612"/>
      <c r="P1" s="612" t="s">
        <v>34</v>
      </c>
      <c r="Q1" s="612"/>
      <c r="R1" s="612" t="s">
        <v>35</v>
      </c>
      <c r="S1" s="612"/>
      <c r="T1" s="606" t="s">
        <v>36</v>
      </c>
      <c r="U1" s="606"/>
      <c r="V1" s="56"/>
      <c r="W1" s="56"/>
    </row>
    <row r="2" spans="1:31" ht="11.25" customHeight="1">
      <c r="A2" s="607">
        <v>1</v>
      </c>
      <c r="B2" s="607"/>
      <c r="C2" s="607"/>
      <c r="D2" s="607">
        <v>2410600</v>
      </c>
      <c r="E2" s="607"/>
      <c r="F2" s="607"/>
      <c r="G2" s="607"/>
      <c r="H2" s="608" t="s">
        <v>180</v>
      </c>
      <c r="I2" s="608"/>
      <c r="J2" s="608"/>
      <c r="K2" s="608"/>
      <c r="L2" s="608"/>
      <c r="M2" s="608"/>
      <c r="N2" s="609">
        <v>300</v>
      </c>
      <c r="O2" s="609"/>
      <c r="P2" s="610">
        <v>400</v>
      </c>
      <c r="Q2" s="610"/>
      <c r="R2" s="609">
        <v>995</v>
      </c>
      <c r="S2" s="609"/>
      <c r="T2" s="611">
        <v>995</v>
      </c>
      <c r="U2" s="611"/>
      <c r="V2" s="613"/>
      <c r="W2" s="613"/>
      <c r="AB2" s="57" t="s">
        <v>215</v>
      </c>
    </row>
    <row r="3" spans="1:31">
      <c r="A3" s="607">
        <v>1</v>
      </c>
      <c r="B3" s="607"/>
      <c r="C3" s="607"/>
      <c r="D3" s="607">
        <v>2410600</v>
      </c>
      <c r="E3" s="607"/>
      <c r="F3" s="607"/>
      <c r="G3" s="607"/>
      <c r="H3" s="608" t="s">
        <v>180</v>
      </c>
      <c r="I3" s="608"/>
      <c r="J3" s="608"/>
      <c r="K3" s="608"/>
      <c r="L3" s="608"/>
      <c r="M3" s="608"/>
      <c r="N3" s="609">
        <v>300</v>
      </c>
      <c r="O3" s="609"/>
      <c r="P3" s="610">
        <v>400</v>
      </c>
      <c r="Q3" s="610"/>
      <c r="R3" s="609">
        <v>995</v>
      </c>
      <c r="S3" s="609"/>
      <c r="T3" s="611">
        <v>995</v>
      </c>
      <c r="U3" s="611"/>
      <c r="V3" s="613"/>
      <c r="W3" s="613"/>
      <c r="Z3" s="58" t="s">
        <v>37</v>
      </c>
      <c r="AA3" s="58">
        <f>COUNTIF(H2:M65,$H$2)</f>
        <v>44</v>
      </c>
      <c r="AB3" s="58">
        <v>8</v>
      </c>
      <c r="AC3" s="59"/>
    </row>
    <row r="4" spans="1:31">
      <c r="A4" s="607">
        <v>1</v>
      </c>
      <c r="B4" s="607"/>
      <c r="C4" s="607"/>
      <c r="D4" s="607">
        <v>2410600</v>
      </c>
      <c r="E4" s="607"/>
      <c r="F4" s="607"/>
      <c r="G4" s="607"/>
      <c r="H4" s="608" t="s">
        <v>180</v>
      </c>
      <c r="I4" s="608"/>
      <c r="J4" s="608"/>
      <c r="K4" s="608"/>
      <c r="L4" s="608"/>
      <c r="M4" s="608"/>
      <c r="N4" s="609">
        <v>300</v>
      </c>
      <c r="O4" s="609"/>
      <c r="P4" s="610">
        <v>400</v>
      </c>
      <c r="Q4" s="610"/>
      <c r="R4" s="609">
        <v>995</v>
      </c>
      <c r="S4" s="609"/>
      <c r="T4" s="611">
        <v>995</v>
      </c>
      <c r="U4" s="611"/>
      <c r="V4" s="613"/>
      <c r="W4" s="613"/>
      <c r="Z4" s="58" t="s">
        <v>38</v>
      </c>
      <c r="AA4" s="58">
        <f>COUNTIF(H2:M65,$H$15)</f>
        <v>20</v>
      </c>
      <c r="AB4" s="58">
        <v>8</v>
      </c>
    </row>
    <row r="5" spans="1:31">
      <c r="A5" s="607">
        <v>1</v>
      </c>
      <c r="B5" s="607"/>
      <c r="C5" s="607"/>
      <c r="D5" s="607">
        <v>2410350</v>
      </c>
      <c r="E5" s="607"/>
      <c r="F5" s="607"/>
      <c r="G5" s="607"/>
      <c r="H5" s="608" t="s">
        <v>85</v>
      </c>
      <c r="I5" s="608"/>
      <c r="J5" s="608"/>
      <c r="K5" s="608"/>
      <c r="L5" s="608"/>
      <c r="M5" s="608"/>
      <c r="N5" s="609">
        <v>300</v>
      </c>
      <c r="O5" s="609"/>
      <c r="P5" s="610">
        <v>400</v>
      </c>
      <c r="Q5" s="610"/>
      <c r="R5" s="609">
        <v>995</v>
      </c>
      <c r="S5" s="609"/>
      <c r="T5" s="611">
        <v>995</v>
      </c>
      <c r="U5" s="611"/>
      <c r="V5" s="613"/>
      <c r="W5" s="613"/>
      <c r="Z5" s="58" t="s">
        <v>218</v>
      </c>
      <c r="AA5" s="58">
        <f>6</f>
        <v>6</v>
      </c>
      <c r="AB5" s="58">
        <v>8</v>
      </c>
    </row>
    <row r="6" spans="1:31" ht="12" customHeight="1">
      <c r="A6" s="607">
        <v>1</v>
      </c>
      <c r="B6" s="607"/>
      <c r="C6" s="607"/>
      <c r="D6" s="607">
        <v>2410350</v>
      </c>
      <c r="E6" s="607"/>
      <c r="F6" s="607"/>
      <c r="G6" s="607"/>
      <c r="H6" s="608" t="s">
        <v>85</v>
      </c>
      <c r="I6" s="608"/>
      <c r="J6" s="608"/>
      <c r="K6" s="608"/>
      <c r="L6" s="608"/>
      <c r="M6" s="608"/>
      <c r="N6" s="609">
        <v>300</v>
      </c>
      <c r="O6" s="609"/>
      <c r="P6" s="610">
        <v>400</v>
      </c>
      <c r="Q6" s="610"/>
      <c r="R6" s="609">
        <v>995</v>
      </c>
      <c r="S6" s="609"/>
      <c r="T6" s="611">
        <v>995</v>
      </c>
      <c r="U6" s="611"/>
      <c r="V6" s="613"/>
      <c r="W6" s="613"/>
      <c r="Z6" s="58" t="s">
        <v>39</v>
      </c>
      <c r="AA6" s="58">
        <f>SUM(AA3:AA5)</f>
        <v>70</v>
      </c>
      <c r="AB6" s="58"/>
    </row>
    <row r="7" spans="1:31" ht="12" customHeight="1">
      <c r="A7" s="607">
        <v>1</v>
      </c>
      <c r="B7" s="607"/>
      <c r="C7" s="607"/>
      <c r="D7" s="607">
        <v>2410600</v>
      </c>
      <c r="E7" s="607"/>
      <c r="F7" s="607"/>
      <c r="G7" s="607"/>
      <c r="H7" s="608" t="s">
        <v>180</v>
      </c>
      <c r="I7" s="608"/>
      <c r="J7" s="608"/>
      <c r="K7" s="608"/>
      <c r="L7" s="608"/>
      <c r="M7" s="608"/>
      <c r="N7" s="609">
        <v>300</v>
      </c>
      <c r="O7" s="609"/>
      <c r="P7" s="610">
        <v>400</v>
      </c>
      <c r="Q7" s="610"/>
      <c r="R7" s="609">
        <v>995</v>
      </c>
      <c r="S7" s="609"/>
      <c r="T7" s="611">
        <v>995</v>
      </c>
      <c r="U7" s="611"/>
      <c r="V7" s="613"/>
      <c r="W7" s="613"/>
      <c r="Z7" s="58"/>
      <c r="AA7" s="58"/>
      <c r="AB7" s="58"/>
    </row>
    <row r="8" spans="1:31" ht="15.75" thickBot="1">
      <c r="A8" s="607">
        <v>1</v>
      </c>
      <c r="B8" s="607"/>
      <c r="C8" s="607"/>
      <c r="D8" s="607">
        <v>2410350</v>
      </c>
      <c r="E8" s="607"/>
      <c r="F8" s="607"/>
      <c r="G8" s="607"/>
      <c r="H8" s="608" t="s">
        <v>85</v>
      </c>
      <c r="I8" s="608"/>
      <c r="J8" s="608"/>
      <c r="K8" s="608"/>
      <c r="L8" s="608"/>
      <c r="M8" s="608"/>
      <c r="N8" s="609">
        <v>300</v>
      </c>
      <c r="O8" s="609"/>
      <c r="P8" s="610">
        <v>400</v>
      </c>
      <c r="Q8" s="610"/>
      <c r="R8" s="609">
        <v>995</v>
      </c>
      <c r="S8" s="609"/>
      <c r="T8" s="611">
        <v>995</v>
      </c>
      <c r="U8" s="611"/>
      <c r="V8" s="613"/>
      <c r="W8" s="613"/>
      <c r="Z8" s="58" t="s">
        <v>178</v>
      </c>
      <c r="AA8" s="58" t="s">
        <v>40</v>
      </c>
      <c r="AB8" s="58" t="s">
        <v>41</v>
      </c>
      <c r="AD8" s="119"/>
      <c r="AE8" s="119"/>
    </row>
    <row r="9" spans="1:31">
      <c r="A9" s="607">
        <v>1</v>
      </c>
      <c r="B9" s="607"/>
      <c r="C9" s="607"/>
      <c r="D9" s="607">
        <v>2410350</v>
      </c>
      <c r="E9" s="607"/>
      <c r="F9" s="607"/>
      <c r="G9" s="607"/>
      <c r="H9" s="608" t="s">
        <v>85</v>
      </c>
      <c r="I9" s="608"/>
      <c r="J9" s="608"/>
      <c r="K9" s="608"/>
      <c r="L9" s="608"/>
      <c r="M9" s="608"/>
      <c r="N9" s="609">
        <v>300</v>
      </c>
      <c r="O9" s="609"/>
      <c r="P9" s="610">
        <v>400</v>
      </c>
      <c r="Q9" s="610"/>
      <c r="R9" s="609">
        <v>995</v>
      </c>
      <c r="S9" s="609"/>
      <c r="T9" s="611">
        <v>995</v>
      </c>
      <c r="U9" s="611"/>
      <c r="V9" s="613"/>
      <c r="W9" s="613"/>
      <c r="Z9" s="120" t="s">
        <v>42</v>
      </c>
      <c r="AA9" s="121">
        <f>SUM(T2:U65)+AA39+'SAT 46 Load Bank Stats'!C60</f>
        <v>85890.8</v>
      </c>
      <c r="AB9" s="122">
        <f>AA9*(1.06)*(1.05)*(1.05)</f>
        <v>100376.28342000002</v>
      </c>
      <c r="AD9" s="119"/>
      <c r="AE9" s="119"/>
    </row>
    <row r="10" spans="1:31">
      <c r="A10" s="607">
        <v>1</v>
      </c>
      <c r="B10" s="607"/>
      <c r="C10" s="607"/>
      <c r="D10" s="607">
        <v>2410600</v>
      </c>
      <c r="E10" s="607"/>
      <c r="F10" s="607"/>
      <c r="G10" s="607"/>
      <c r="H10" s="608" t="s">
        <v>180</v>
      </c>
      <c r="I10" s="608"/>
      <c r="J10" s="608"/>
      <c r="K10" s="608"/>
      <c r="L10" s="608"/>
      <c r="M10" s="608"/>
      <c r="N10" s="609">
        <v>300</v>
      </c>
      <c r="O10" s="609"/>
      <c r="P10" s="610">
        <v>400</v>
      </c>
      <c r="Q10" s="610"/>
      <c r="R10" s="609">
        <v>995</v>
      </c>
      <c r="S10" s="609"/>
      <c r="T10" s="611">
        <v>995</v>
      </c>
      <c r="U10" s="611"/>
      <c r="V10" s="613"/>
      <c r="W10" s="613"/>
      <c r="Z10" s="123" t="s">
        <v>43</v>
      </c>
      <c r="AA10" s="60">
        <f>SUM(T66:U76)+AA40</f>
        <v>14956.6</v>
      </c>
      <c r="AB10" s="124">
        <f>AA10*(1.06)*(1.05)*(1.05)</f>
        <v>17479.030590000002</v>
      </c>
      <c r="AD10" s="119"/>
      <c r="AE10" s="119"/>
    </row>
    <row r="11" spans="1:31">
      <c r="A11" s="607">
        <v>1</v>
      </c>
      <c r="B11" s="607"/>
      <c r="C11" s="607"/>
      <c r="D11" s="607">
        <v>2410350</v>
      </c>
      <c r="E11" s="607"/>
      <c r="F11" s="607"/>
      <c r="G11" s="607"/>
      <c r="H11" s="608" t="s">
        <v>85</v>
      </c>
      <c r="I11" s="608"/>
      <c r="J11" s="608"/>
      <c r="K11" s="608"/>
      <c r="L11" s="608"/>
      <c r="M11" s="608"/>
      <c r="N11" s="609">
        <v>300</v>
      </c>
      <c r="O11" s="609"/>
      <c r="P11" s="610">
        <v>400</v>
      </c>
      <c r="Q11" s="610"/>
      <c r="R11" s="609">
        <v>995</v>
      </c>
      <c r="S11" s="609"/>
      <c r="T11" s="611">
        <v>995</v>
      </c>
      <c r="U11" s="611"/>
      <c r="V11" s="613"/>
      <c r="W11" s="613"/>
      <c r="Z11" s="123"/>
      <c r="AA11" s="60"/>
      <c r="AB11" s="124"/>
    </row>
    <row r="12" spans="1:31" ht="12" customHeight="1" thickBot="1">
      <c r="A12" s="607">
        <v>1</v>
      </c>
      <c r="B12" s="607"/>
      <c r="C12" s="607"/>
      <c r="D12" s="607">
        <v>2410350</v>
      </c>
      <c r="E12" s="607"/>
      <c r="F12" s="607"/>
      <c r="G12" s="607"/>
      <c r="H12" s="608" t="s">
        <v>85</v>
      </c>
      <c r="I12" s="608"/>
      <c r="J12" s="608"/>
      <c r="K12" s="608"/>
      <c r="L12" s="608"/>
      <c r="M12" s="608"/>
      <c r="N12" s="609">
        <v>300</v>
      </c>
      <c r="O12" s="609"/>
      <c r="P12" s="610">
        <v>400</v>
      </c>
      <c r="Q12" s="610"/>
      <c r="R12" s="609">
        <v>995</v>
      </c>
      <c r="S12" s="609"/>
      <c r="T12" s="611">
        <v>995</v>
      </c>
      <c r="U12" s="611"/>
      <c r="V12" s="613"/>
      <c r="W12" s="613"/>
      <c r="Z12" s="125" t="s">
        <v>8</v>
      </c>
      <c r="AA12" s="126">
        <f>SUM(AA9:AA10)</f>
        <v>100847.40000000001</v>
      </c>
      <c r="AB12" s="127">
        <f>SUM(AB9:AB10)</f>
        <v>117855.31401000003</v>
      </c>
    </row>
    <row r="13" spans="1:31" ht="12" customHeight="1">
      <c r="A13" s="607">
        <v>1</v>
      </c>
      <c r="B13" s="607"/>
      <c r="C13" s="607"/>
      <c r="D13" s="607">
        <v>2410600</v>
      </c>
      <c r="E13" s="607"/>
      <c r="F13" s="607"/>
      <c r="G13" s="607"/>
      <c r="H13" s="608" t="s">
        <v>180</v>
      </c>
      <c r="I13" s="608"/>
      <c r="J13" s="608"/>
      <c r="K13" s="608"/>
      <c r="L13" s="608"/>
      <c r="M13" s="608"/>
      <c r="N13" s="609">
        <v>300</v>
      </c>
      <c r="O13" s="609"/>
      <c r="P13" s="610">
        <v>400</v>
      </c>
      <c r="Q13" s="610"/>
      <c r="R13" s="609">
        <v>995</v>
      </c>
      <c r="S13" s="609"/>
      <c r="T13" s="611">
        <v>995</v>
      </c>
      <c r="U13" s="611"/>
      <c r="V13" s="613"/>
      <c r="W13" s="613"/>
    </row>
    <row r="14" spans="1:31" ht="12" customHeight="1">
      <c r="A14" s="607">
        <v>1</v>
      </c>
      <c r="B14" s="607"/>
      <c r="C14" s="607"/>
      <c r="D14" s="607">
        <v>2410350</v>
      </c>
      <c r="E14" s="607"/>
      <c r="F14" s="607"/>
      <c r="G14" s="607"/>
      <c r="H14" s="608" t="s">
        <v>85</v>
      </c>
      <c r="I14" s="608"/>
      <c r="J14" s="608"/>
      <c r="K14" s="608"/>
      <c r="L14" s="608"/>
      <c r="M14" s="608"/>
      <c r="N14" s="609">
        <v>300</v>
      </c>
      <c r="O14" s="609"/>
      <c r="P14" s="610">
        <v>400</v>
      </c>
      <c r="Q14" s="610"/>
      <c r="R14" s="609">
        <v>995</v>
      </c>
      <c r="S14" s="609"/>
      <c r="T14" s="611">
        <v>995</v>
      </c>
      <c r="U14" s="611"/>
      <c r="V14" s="613"/>
      <c r="W14" s="613"/>
    </row>
    <row r="15" spans="1:31" ht="12" customHeight="1">
      <c r="A15" s="607">
        <v>1</v>
      </c>
      <c r="B15" s="607"/>
      <c r="C15" s="607"/>
      <c r="D15" s="607">
        <v>2410350</v>
      </c>
      <c r="E15" s="607"/>
      <c r="F15" s="607"/>
      <c r="G15" s="607"/>
      <c r="H15" s="608" t="s">
        <v>85</v>
      </c>
      <c r="I15" s="608"/>
      <c r="J15" s="608"/>
      <c r="K15" s="608"/>
      <c r="L15" s="608"/>
      <c r="M15" s="608"/>
      <c r="N15" s="609">
        <v>300</v>
      </c>
      <c r="O15" s="609"/>
      <c r="P15" s="610">
        <v>400</v>
      </c>
      <c r="Q15" s="610"/>
      <c r="R15" s="609">
        <v>995</v>
      </c>
      <c r="S15" s="609"/>
      <c r="T15" s="611">
        <v>995</v>
      </c>
      <c r="U15" s="611"/>
      <c r="V15" s="613"/>
      <c r="W15" s="613"/>
    </row>
    <row r="16" spans="1:31" ht="12" customHeight="1" thickBot="1">
      <c r="A16" s="607">
        <v>1</v>
      </c>
      <c r="B16" s="607"/>
      <c r="C16" s="607"/>
      <c r="D16" s="607">
        <v>2410350</v>
      </c>
      <c r="E16" s="607"/>
      <c r="F16" s="607"/>
      <c r="G16" s="607"/>
      <c r="H16" s="608" t="s">
        <v>85</v>
      </c>
      <c r="I16" s="608"/>
      <c r="J16" s="608"/>
      <c r="K16" s="608"/>
      <c r="L16" s="608"/>
      <c r="M16" s="608"/>
      <c r="N16" s="609">
        <v>300</v>
      </c>
      <c r="O16" s="609"/>
      <c r="P16" s="610">
        <v>400</v>
      </c>
      <c r="Q16" s="610"/>
      <c r="R16" s="609">
        <v>995</v>
      </c>
      <c r="S16" s="609"/>
      <c r="T16" s="611">
        <v>995</v>
      </c>
      <c r="U16" s="611"/>
      <c r="V16" s="613"/>
      <c r="W16" s="613"/>
      <c r="Z16" s="58" t="s">
        <v>179</v>
      </c>
      <c r="AA16" s="58" t="s">
        <v>40</v>
      </c>
      <c r="AB16" s="58" t="s">
        <v>41</v>
      </c>
    </row>
    <row r="17" spans="1:28">
      <c r="A17" s="607">
        <v>1</v>
      </c>
      <c r="B17" s="607"/>
      <c r="C17" s="607"/>
      <c r="D17" s="607">
        <v>2410600</v>
      </c>
      <c r="E17" s="607"/>
      <c r="F17" s="607"/>
      <c r="G17" s="607"/>
      <c r="H17" s="608" t="s">
        <v>180</v>
      </c>
      <c r="I17" s="608"/>
      <c r="J17" s="608"/>
      <c r="K17" s="608"/>
      <c r="L17" s="608"/>
      <c r="M17" s="608"/>
      <c r="N17" s="609">
        <v>300</v>
      </c>
      <c r="O17" s="609"/>
      <c r="P17" s="610">
        <v>400</v>
      </c>
      <c r="Q17" s="610"/>
      <c r="R17" s="609">
        <v>995</v>
      </c>
      <c r="S17" s="609"/>
      <c r="T17" s="611">
        <v>995</v>
      </c>
      <c r="U17" s="611"/>
      <c r="V17" s="613"/>
      <c r="W17" s="613"/>
      <c r="Z17" s="120" t="s">
        <v>42</v>
      </c>
      <c r="AA17" s="121">
        <f>AA9*2</f>
        <v>171781.6</v>
      </c>
      <c r="AB17" s="122">
        <f t="shared" ref="AB17" si="0">AB9*2</f>
        <v>200752.56684000004</v>
      </c>
    </row>
    <row r="18" spans="1:28" ht="12" customHeight="1">
      <c r="A18" s="607">
        <v>1</v>
      </c>
      <c r="B18" s="607"/>
      <c r="C18" s="607"/>
      <c r="D18" s="607">
        <v>2410600</v>
      </c>
      <c r="E18" s="607"/>
      <c r="F18" s="607"/>
      <c r="G18" s="607"/>
      <c r="H18" s="608" t="s">
        <v>180</v>
      </c>
      <c r="I18" s="608"/>
      <c r="J18" s="608"/>
      <c r="K18" s="608"/>
      <c r="L18" s="608"/>
      <c r="M18" s="608"/>
      <c r="N18" s="609">
        <v>300</v>
      </c>
      <c r="O18" s="609"/>
      <c r="P18" s="610">
        <v>400</v>
      </c>
      <c r="Q18" s="610"/>
      <c r="R18" s="609">
        <v>995</v>
      </c>
      <c r="S18" s="609"/>
      <c r="T18" s="611">
        <v>995</v>
      </c>
      <c r="U18" s="611"/>
      <c r="V18" s="613"/>
      <c r="W18" s="613"/>
      <c r="Z18" s="123" t="s">
        <v>43</v>
      </c>
      <c r="AA18" s="60">
        <f>AA10*2</f>
        <v>29913.200000000001</v>
      </c>
      <c r="AB18" s="124">
        <f>AB10*2</f>
        <v>34958.061180000004</v>
      </c>
    </row>
    <row r="19" spans="1:28" ht="12" customHeight="1">
      <c r="A19" s="607">
        <v>1</v>
      </c>
      <c r="B19" s="607"/>
      <c r="C19" s="607"/>
      <c r="D19" s="607">
        <v>2410350</v>
      </c>
      <c r="E19" s="607"/>
      <c r="F19" s="607"/>
      <c r="G19" s="607"/>
      <c r="H19" s="608" t="s">
        <v>85</v>
      </c>
      <c r="I19" s="608"/>
      <c r="J19" s="608"/>
      <c r="K19" s="608"/>
      <c r="L19" s="608"/>
      <c r="M19" s="608"/>
      <c r="N19" s="609">
        <v>300</v>
      </c>
      <c r="O19" s="609"/>
      <c r="P19" s="610">
        <v>400</v>
      </c>
      <c r="Q19" s="610"/>
      <c r="R19" s="609">
        <v>995</v>
      </c>
      <c r="S19" s="609"/>
      <c r="T19" s="611">
        <v>995</v>
      </c>
      <c r="U19" s="611"/>
      <c r="V19" s="613"/>
      <c r="W19" s="613"/>
      <c r="Z19" s="123"/>
      <c r="AA19" s="60"/>
      <c r="AB19" s="124"/>
    </row>
    <row r="20" spans="1:28">
      <c r="A20" s="607">
        <v>1</v>
      </c>
      <c r="B20" s="607"/>
      <c r="C20" s="607"/>
      <c r="D20" s="607">
        <v>2410600</v>
      </c>
      <c r="E20" s="607"/>
      <c r="F20" s="607"/>
      <c r="G20" s="607"/>
      <c r="H20" s="608" t="s">
        <v>180</v>
      </c>
      <c r="I20" s="608"/>
      <c r="J20" s="608"/>
      <c r="K20" s="608"/>
      <c r="L20" s="608"/>
      <c r="M20" s="608"/>
      <c r="N20" s="609">
        <v>300</v>
      </c>
      <c r="O20" s="609"/>
      <c r="P20" s="610">
        <v>400</v>
      </c>
      <c r="Q20" s="610"/>
      <c r="R20" s="609">
        <v>995</v>
      </c>
      <c r="S20" s="609"/>
      <c r="T20" s="611">
        <v>995</v>
      </c>
      <c r="U20" s="611"/>
      <c r="V20" s="613"/>
      <c r="W20" s="613"/>
      <c r="Z20" s="123" t="s">
        <v>212</v>
      </c>
      <c r="AA20" s="60">
        <v>0</v>
      </c>
      <c r="AB20" s="124">
        <f>('SAT 46 Load Bank Stats'!K14/SUM('SAT 46 Load Bank Stats'!K11:K14))*SUM('CYS08 Load Bank Stats'!AB17:AB19)</f>
        <v>58955.336277084709</v>
      </c>
    </row>
    <row r="21" spans="1:28" ht="12" customHeight="1" thickBot="1">
      <c r="A21" s="607">
        <v>1</v>
      </c>
      <c r="B21" s="607"/>
      <c r="C21" s="607"/>
      <c r="D21" s="607">
        <v>2410600</v>
      </c>
      <c r="E21" s="607"/>
      <c r="F21" s="607"/>
      <c r="G21" s="607"/>
      <c r="H21" s="608" t="s">
        <v>180</v>
      </c>
      <c r="I21" s="608"/>
      <c r="J21" s="608"/>
      <c r="K21" s="608"/>
      <c r="L21" s="608"/>
      <c r="M21" s="608"/>
      <c r="N21" s="609">
        <v>300</v>
      </c>
      <c r="O21" s="609"/>
      <c r="P21" s="610">
        <v>400</v>
      </c>
      <c r="Q21" s="610"/>
      <c r="R21" s="609">
        <v>995</v>
      </c>
      <c r="S21" s="609"/>
      <c r="T21" s="611">
        <v>995</v>
      </c>
      <c r="U21" s="611"/>
      <c r="V21" s="613"/>
      <c r="W21" s="613"/>
      <c r="Z21" s="125" t="s">
        <v>8</v>
      </c>
      <c r="AA21" s="126">
        <f>SUM(AA17:AA20)</f>
        <v>201694.80000000002</v>
      </c>
      <c r="AB21" s="127">
        <f>SUM(AB17:AB20)</f>
        <v>294665.96429708478</v>
      </c>
    </row>
    <row r="22" spans="1:28" ht="12" customHeight="1">
      <c r="A22" s="607">
        <v>1</v>
      </c>
      <c r="B22" s="607"/>
      <c r="C22" s="607"/>
      <c r="D22" s="607">
        <v>2410600</v>
      </c>
      <c r="E22" s="607"/>
      <c r="F22" s="607"/>
      <c r="G22" s="607"/>
      <c r="H22" s="608" t="s">
        <v>180</v>
      </c>
      <c r="I22" s="608"/>
      <c r="J22" s="608"/>
      <c r="K22" s="608"/>
      <c r="L22" s="608"/>
      <c r="M22" s="608"/>
      <c r="N22" s="609">
        <v>300</v>
      </c>
      <c r="O22" s="609"/>
      <c r="P22" s="610">
        <v>400</v>
      </c>
      <c r="Q22" s="610"/>
      <c r="R22" s="609">
        <v>995</v>
      </c>
      <c r="S22" s="609"/>
      <c r="T22" s="611">
        <v>995</v>
      </c>
      <c r="U22" s="611"/>
      <c r="V22" s="613"/>
      <c r="W22" s="613"/>
    </row>
    <row r="23" spans="1:28" ht="12" customHeight="1">
      <c r="A23" s="607">
        <v>1</v>
      </c>
      <c r="B23" s="607"/>
      <c r="C23" s="607"/>
      <c r="D23" s="607">
        <v>2410350</v>
      </c>
      <c r="E23" s="607"/>
      <c r="F23" s="607"/>
      <c r="G23" s="607"/>
      <c r="H23" s="608" t="s">
        <v>85</v>
      </c>
      <c r="I23" s="608"/>
      <c r="J23" s="608"/>
      <c r="K23" s="608"/>
      <c r="L23" s="608"/>
      <c r="M23" s="608"/>
      <c r="N23" s="609">
        <v>300</v>
      </c>
      <c r="O23" s="609"/>
      <c r="P23" s="610">
        <v>400</v>
      </c>
      <c r="Q23" s="610"/>
      <c r="R23" s="609">
        <v>995</v>
      </c>
      <c r="S23" s="609"/>
      <c r="T23" s="611">
        <v>995</v>
      </c>
      <c r="U23" s="611"/>
      <c r="V23" s="613"/>
      <c r="W23" s="613"/>
    </row>
    <row r="24" spans="1:28" ht="12" customHeight="1">
      <c r="A24" s="607">
        <v>1</v>
      </c>
      <c r="B24" s="607"/>
      <c r="C24" s="607"/>
      <c r="D24" s="607">
        <v>2410350</v>
      </c>
      <c r="E24" s="607"/>
      <c r="F24" s="607"/>
      <c r="G24" s="607"/>
      <c r="H24" s="608" t="s">
        <v>85</v>
      </c>
      <c r="I24" s="608"/>
      <c r="J24" s="608"/>
      <c r="K24" s="608"/>
      <c r="L24" s="608"/>
      <c r="M24" s="608"/>
      <c r="N24" s="609">
        <v>300</v>
      </c>
      <c r="O24" s="609"/>
      <c r="P24" s="610">
        <v>400</v>
      </c>
      <c r="Q24" s="610"/>
      <c r="R24" s="609">
        <v>995</v>
      </c>
      <c r="S24" s="609"/>
      <c r="T24" s="611">
        <v>995</v>
      </c>
      <c r="U24" s="611"/>
      <c r="V24" s="613"/>
      <c r="W24" s="613"/>
    </row>
    <row r="25" spans="1:28" ht="12" customHeight="1">
      <c r="A25" s="607">
        <v>1</v>
      </c>
      <c r="B25" s="607"/>
      <c r="C25" s="607"/>
      <c r="D25" s="607">
        <v>2410600</v>
      </c>
      <c r="E25" s="607"/>
      <c r="F25" s="607"/>
      <c r="G25" s="607"/>
      <c r="H25" s="608" t="s">
        <v>180</v>
      </c>
      <c r="I25" s="608"/>
      <c r="J25" s="608"/>
      <c r="K25" s="608"/>
      <c r="L25" s="608"/>
      <c r="M25" s="608"/>
      <c r="N25" s="609">
        <v>300</v>
      </c>
      <c r="O25" s="609"/>
      <c r="P25" s="610">
        <v>400</v>
      </c>
      <c r="Q25" s="610"/>
      <c r="R25" s="609">
        <v>995</v>
      </c>
      <c r="S25" s="609"/>
      <c r="T25" s="611">
        <v>995</v>
      </c>
      <c r="U25" s="611"/>
      <c r="V25" s="613"/>
      <c r="W25" s="613"/>
    </row>
    <row r="26" spans="1:28" ht="12" customHeight="1">
      <c r="A26" s="607">
        <v>1</v>
      </c>
      <c r="B26" s="607"/>
      <c r="C26" s="607"/>
      <c r="D26" s="607">
        <v>2410350</v>
      </c>
      <c r="E26" s="607"/>
      <c r="F26" s="607"/>
      <c r="G26" s="607"/>
      <c r="H26" s="608" t="s">
        <v>85</v>
      </c>
      <c r="I26" s="608"/>
      <c r="J26" s="608"/>
      <c r="K26" s="608"/>
      <c r="L26" s="608"/>
      <c r="M26" s="608"/>
      <c r="N26" s="609">
        <v>300</v>
      </c>
      <c r="O26" s="609"/>
      <c r="P26" s="610">
        <v>400</v>
      </c>
      <c r="Q26" s="610"/>
      <c r="R26" s="609">
        <v>995</v>
      </c>
      <c r="S26" s="609"/>
      <c r="T26" s="611">
        <v>995</v>
      </c>
      <c r="U26" s="611"/>
      <c r="V26" s="613"/>
      <c r="W26" s="613"/>
    </row>
    <row r="27" spans="1:28" ht="12" customHeight="1">
      <c r="A27" s="607">
        <v>1</v>
      </c>
      <c r="B27" s="607"/>
      <c r="C27" s="607"/>
      <c r="D27" s="607">
        <v>2410350</v>
      </c>
      <c r="E27" s="607"/>
      <c r="F27" s="607"/>
      <c r="G27" s="607"/>
      <c r="H27" s="608" t="s">
        <v>85</v>
      </c>
      <c r="I27" s="608"/>
      <c r="J27" s="608"/>
      <c r="K27" s="608"/>
      <c r="L27" s="608"/>
      <c r="M27" s="608"/>
      <c r="N27" s="609">
        <v>300</v>
      </c>
      <c r="O27" s="609"/>
      <c r="P27" s="610">
        <v>400</v>
      </c>
      <c r="Q27" s="610"/>
      <c r="R27" s="609">
        <v>995</v>
      </c>
      <c r="S27" s="609"/>
      <c r="T27" s="611">
        <v>995</v>
      </c>
      <c r="U27" s="611"/>
      <c r="V27" s="613"/>
      <c r="W27" s="613"/>
    </row>
    <row r="28" spans="1:28" ht="12" customHeight="1">
      <c r="A28" s="607">
        <v>1</v>
      </c>
      <c r="B28" s="607"/>
      <c r="C28" s="607"/>
      <c r="D28" s="607">
        <v>2410600</v>
      </c>
      <c r="E28" s="607"/>
      <c r="F28" s="607"/>
      <c r="G28" s="607"/>
      <c r="H28" s="608" t="s">
        <v>180</v>
      </c>
      <c r="I28" s="608"/>
      <c r="J28" s="608"/>
      <c r="K28" s="608"/>
      <c r="L28" s="608"/>
      <c r="M28" s="608"/>
      <c r="N28" s="609">
        <v>300</v>
      </c>
      <c r="O28" s="609"/>
      <c r="P28" s="610">
        <v>400</v>
      </c>
      <c r="Q28" s="610"/>
      <c r="R28" s="609">
        <v>995</v>
      </c>
      <c r="S28" s="609"/>
      <c r="T28" s="611">
        <v>995</v>
      </c>
      <c r="U28" s="611"/>
      <c r="V28" s="613"/>
      <c r="W28" s="613"/>
      <c r="Z28" s="57" t="s">
        <v>415</v>
      </c>
      <c r="AA28" s="119">
        <f>AA18/AB3</f>
        <v>3739.15</v>
      </c>
    </row>
    <row r="29" spans="1:28" ht="12" customHeight="1">
      <c r="A29" s="607">
        <v>1</v>
      </c>
      <c r="B29" s="607"/>
      <c r="C29" s="607"/>
      <c r="D29" s="607">
        <v>2410350</v>
      </c>
      <c r="E29" s="607"/>
      <c r="F29" s="607"/>
      <c r="G29" s="607"/>
      <c r="H29" s="608" t="s">
        <v>85</v>
      </c>
      <c r="I29" s="608"/>
      <c r="J29" s="608"/>
      <c r="K29" s="608"/>
      <c r="L29" s="608"/>
      <c r="M29" s="608"/>
      <c r="N29" s="609">
        <v>300</v>
      </c>
      <c r="O29" s="609"/>
      <c r="P29" s="610">
        <v>400</v>
      </c>
      <c r="Q29" s="610"/>
      <c r="R29" s="609">
        <v>995</v>
      </c>
      <c r="S29" s="609"/>
      <c r="T29" s="611">
        <v>995</v>
      </c>
      <c r="U29" s="611"/>
      <c r="V29" s="613"/>
      <c r="W29" s="613"/>
      <c r="Z29" s="57" t="s">
        <v>416</v>
      </c>
      <c r="AA29" s="119">
        <f>AA28/SUM(AA3:AA4)</f>
        <v>58.424218750000001</v>
      </c>
    </row>
    <row r="30" spans="1:28" ht="12" customHeight="1">
      <c r="A30" s="607">
        <v>1</v>
      </c>
      <c r="B30" s="607"/>
      <c r="C30" s="607"/>
      <c r="D30" s="607">
        <v>2410350</v>
      </c>
      <c r="E30" s="607"/>
      <c r="F30" s="607"/>
      <c r="G30" s="607"/>
      <c r="H30" s="608" t="s">
        <v>85</v>
      </c>
      <c r="I30" s="608"/>
      <c r="J30" s="608"/>
      <c r="K30" s="608"/>
      <c r="L30" s="608"/>
      <c r="M30" s="608"/>
      <c r="N30" s="609">
        <v>300</v>
      </c>
      <c r="O30" s="609"/>
      <c r="P30" s="610">
        <v>400</v>
      </c>
      <c r="Q30" s="610"/>
      <c r="R30" s="609">
        <v>995</v>
      </c>
      <c r="S30" s="609"/>
      <c r="T30" s="611">
        <v>995</v>
      </c>
      <c r="U30" s="611"/>
      <c r="V30" s="613"/>
      <c r="W30" s="613"/>
    </row>
    <row r="31" spans="1:28" ht="12" customHeight="1">
      <c r="A31" s="607">
        <v>1</v>
      </c>
      <c r="B31" s="607"/>
      <c r="C31" s="607"/>
      <c r="D31" s="607">
        <v>2410600</v>
      </c>
      <c r="E31" s="607"/>
      <c r="F31" s="607"/>
      <c r="G31" s="607"/>
      <c r="H31" s="608" t="s">
        <v>180</v>
      </c>
      <c r="I31" s="608"/>
      <c r="J31" s="608"/>
      <c r="K31" s="608"/>
      <c r="L31" s="608"/>
      <c r="M31" s="608"/>
      <c r="N31" s="609">
        <v>300</v>
      </c>
      <c r="O31" s="609"/>
      <c r="P31" s="610">
        <v>400</v>
      </c>
      <c r="Q31" s="610"/>
      <c r="R31" s="609">
        <v>995</v>
      </c>
      <c r="S31" s="609"/>
      <c r="T31" s="611">
        <v>995</v>
      </c>
      <c r="U31" s="611"/>
      <c r="V31" s="613"/>
      <c r="W31" s="613"/>
    </row>
    <row r="32" spans="1:28" ht="12" customHeight="1">
      <c r="A32" s="607">
        <v>1</v>
      </c>
      <c r="B32" s="607"/>
      <c r="C32" s="607"/>
      <c r="D32" s="607">
        <v>2410350</v>
      </c>
      <c r="E32" s="607"/>
      <c r="F32" s="607"/>
      <c r="G32" s="607"/>
      <c r="H32" s="608" t="s">
        <v>85</v>
      </c>
      <c r="I32" s="608"/>
      <c r="J32" s="608"/>
      <c r="K32" s="608"/>
      <c r="L32" s="608"/>
      <c r="M32" s="608"/>
      <c r="N32" s="609">
        <v>300</v>
      </c>
      <c r="O32" s="609"/>
      <c r="P32" s="610">
        <v>400</v>
      </c>
      <c r="Q32" s="610"/>
      <c r="R32" s="609">
        <v>995</v>
      </c>
      <c r="S32" s="609"/>
      <c r="T32" s="611">
        <v>995</v>
      </c>
      <c r="U32" s="611"/>
      <c r="V32" s="613"/>
      <c r="W32" s="613"/>
    </row>
    <row r="33" spans="1:27" ht="12" customHeight="1">
      <c r="A33" s="607">
        <v>1</v>
      </c>
      <c r="B33" s="607"/>
      <c r="C33" s="607"/>
      <c r="D33" s="607">
        <v>2410350</v>
      </c>
      <c r="E33" s="607"/>
      <c r="F33" s="607"/>
      <c r="G33" s="607"/>
      <c r="H33" s="608" t="s">
        <v>85</v>
      </c>
      <c r="I33" s="608"/>
      <c r="J33" s="608"/>
      <c r="K33" s="608"/>
      <c r="L33" s="608"/>
      <c r="M33" s="608"/>
      <c r="N33" s="609">
        <v>300</v>
      </c>
      <c r="O33" s="609"/>
      <c r="P33" s="610">
        <v>400</v>
      </c>
      <c r="Q33" s="610"/>
      <c r="R33" s="609">
        <v>995</v>
      </c>
      <c r="S33" s="609"/>
      <c r="T33" s="611">
        <v>995</v>
      </c>
      <c r="U33" s="611"/>
      <c r="V33" s="613"/>
      <c r="W33" s="613"/>
    </row>
    <row r="34" spans="1:27" ht="12" customHeight="1">
      <c r="A34" s="607">
        <v>1</v>
      </c>
      <c r="B34" s="607"/>
      <c r="C34" s="607"/>
      <c r="D34" s="607">
        <v>2410350</v>
      </c>
      <c r="E34" s="607"/>
      <c r="F34" s="607"/>
      <c r="G34" s="607"/>
      <c r="H34" s="608" t="s">
        <v>85</v>
      </c>
      <c r="I34" s="608"/>
      <c r="J34" s="608"/>
      <c r="K34" s="608"/>
      <c r="L34" s="608"/>
      <c r="M34" s="608"/>
      <c r="N34" s="609">
        <v>300</v>
      </c>
      <c r="O34" s="609"/>
      <c r="P34" s="610">
        <v>400</v>
      </c>
      <c r="Q34" s="610"/>
      <c r="R34" s="609">
        <v>995</v>
      </c>
      <c r="S34" s="609"/>
      <c r="T34" s="611">
        <v>995</v>
      </c>
      <c r="U34" s="611"/>
      <c r="V34" s="613"/>
      <c r="W34" s="613"/>
    </row>
    <row r="35" spans="1:27" ht="12" customHeight="1">
      <c r="A35" s="607">
        <v>1</v>
      </c>
      <c r="B35" s="607"/>
      <c r="C35" s="607"/>
      <c r="D35" s="607">
        <v>2410600</v>
      </c>
      <c r="E35" s="607"/>
      <c r="F35" s="607"/>
      <c r="G35" s="607"/>
      <c r="H35" s="608" t="s">
        <v>180</v>
      </c>
      <c r="I35" s="608"/>
      <c r="J35" s="608"/>
      <c r="K35" s="608"/>
      <c r="L35" s="608"/>
      <c r="M35" s="608"/>
      <c r="N35" s="609">
        <v>300</v>
      </c>
      <c r="O35" s="609"/>
      <c r="P35" s="610">
        <v>400</v>
      </c>
      <c r="Q35" s="610"/>
      <c r="R35" s="609">
        <v>995</v>
      </c>
      <c r="S35" s="609"/>
      <c r="T35" s="611">
        <v>995</v>
      </c>
      <c r="U35" s="611"/>
      <c r="V35" s="613"/>
      <c r="W35" s="613"/>
    </row>
    <row r="36" spans="1:27" ht="12" customHeight="1">
      <c r="A36" s="607">
        <v>1</v>
      </c>
      <c r="B36" s="607"/>
      <c r="C36" s="607"/>
      <c r="D36" s="607">
        <v>2410600</v>
      </c>
      <c r="E36" s="607"/>
      <c r="F36" s="607"/>
      <c r="G36" s="607"/>
      <c r="H36" s="608" t="s">
        <v>180</v>
      </c>
      <c r="I36" s="608"/>
      <c r="J36" s="608"/>
      <c r="K36" s="608"/>
      <c r="L36" s="608"/>
      <c r="M36" s="608"/>
      <c r="N36" s="609">
        <v>300</v>
      </c>
      <c r="O36" s="609"/>
      <c r="P36" s="610">
        <v>400</v>
      </c>
      <c r="Q36" s="610"/>
      <c r="R36" s="609">
        <v>995</v>
      </c>
      <c r="S36" s="609"/>
      <c r="T36" s="611">
        <v>995</v>
      </c>
      <c r="U36" s="611"/>
      <c r="V36" s="613"/>
      <c r="W36" s="613"/>
      <c r="Z36" s="57" t="s">
        <v>464</v>
      </c>
      <c r="AA36" s="57">
        <v>4667.3999999999996</v>
      </c>
    </row>
    <row r="37" spans="1:27" ht="12" customHeight="1">
      <c r="A37" s="607">
        <v>1</v>
      </c>
      <c r="B37" s="607"/>
      <c r="C37" s="607"/>
      <c r="D37" s="607">
        <v>2410350</v>
      </c>
      <c r="E37" s="607"/>
      <c r="F37" s="607"/>
      <c r="G37" s="607"/>
      <c r="H37" s="608" t="s">
        <v>85</v>
      </c>
      <c r="I37" s="608"/>
      <c r="J37" s="608"/>
      <c r="K37" s="608"/>
      <c r="L37" s="608"/>
      <c r="M37" s="608"/>
      <c r="N37" s="609">
        <v>300</v>
      </c>
      <c r="O37" s="609"/>
      <c r="P37" s="610">
        <v>400</v>
      </c>
      <c r="Q37" s="610"/>
      <c r="R37" s="609">
        <v>995</v>
      </c>
      <c r="S37" s="609"/>
      <c r="T37" s="611">
        <v>995</v>
      </c>
      <c r="U37" s="611"/>
      <c r="V37" s="613"/>
      <c r="W37" s="613"/>
    </row>
    <row r="38" spans="1:27" ht="11.25" customHeight="1">
      <c r="A38" s="607">
        <v>1</v>
      </c>
      <c r="B38" s="607"/>
      <c r="C38" s="607"/>
      <c r="D38" s="607">
        <v>2410600</v>
      </c>
      <c r="E38" s="607"/>
      <c r="F38" s="607"/>
      <c r="G38" s="607"/>
      <c r="H38" s="608" t="s">
        <v>180</v>
      </c>
      <c r="I38" s="608"/>
      <c r="J38" s="608"/>
      <c r="K38" s="608"/>
      <c r="L38" s="608"/>
      <c r="M38" s="608"/>
      <c r="N38" s="609">
        <v>300</v>
      </c>
      <c r="O38" s="609"/>
      <c r="P38" s="610">
        <v>400</v>
      </c>
      <c r="Q38" s="610"/>
      <c r="R38" s="609">
        <v>995</v>
      </c>
      <c r="S38" s="609"/>
      <c r="T38" s="611">
        <v>995</v>
      </c>
      <c r="U38" s="611"/>
      <c r="V38" s="613"/>
      <c r="W38" s="613"/>
      <c r="Z38" s="57" t="s">
        <v>430</v>
      </c>
    </row>
    <row r="39" spans="1:27" ht="11.25" customHeight="1">
      <c r="A39" s="607">
        <v>1</v>
      </c>
      <c r="B39" s="607"/>
      <c r="C39" s="607"/>
      <c r="D39" s="607">
        <v>2410600</v>
      </c>
      <c r="E39" s="607"/>
      <c r="F39" s="607"/>
      <c r="G39" s="607"/>
      <c r="H39" s="608" t="s">
        <v>180</v>
      </c>
      <c r="I39" s="608"/>
      <c r="J39" s="608"/>
      <c r="K39" s="608"/>
      <c r="L39" s="608"/>
      <c r="M39" s="608"/>
      <c r="N39" s="609">
        <v>300</v>
      </c>
      <c r="O39" s="609"/>
      <c r="P39" s="610">
        <v>400</v>
      </c>
      <c r="Q39" s="610"/>
      <c r="R39" s="609">
        <v>995</v>
      </c>
      <c r="S39" s="609"/>
      <c r="T39" s="611">
        <v>995</v>
      </c>
      <c r="U39" s="611"/>
      <c r="V39" s="613"/>
      <c r="W39" s="613"/>
      <c r="Z39" s="57" t="s">
        <v>465</v>
      </c>
      <c r="AA39" s="57">
        <v>3820.7999999999997</v>
      </c>
    </row>
    <row r="40" spans="1:27" ht="11.25" customHeight="1">
      <c r="A40" s="607">
        <v>1</v>
      </c>
      <c r="B40" s="607"/>
      <c r="C40" s="607"/>
      <c r="D40" s="607">
        <v>2410600</v>
      </c>
      <c r="E40" s="607"/>
      <c r="F40" s="607"/>
      <c r="G40" s="607"/>
      <c r="H40" s="608" t="s">
        <v>180</v>
      </c>
      <c r="I40" s="608"/>
      <c r="J40" s="608"/>
      <c r="K40" s="608"/>
      <c r="L40" s="608"/>
      <c r="M40" s="608"/>
      <c r="N40" s="609">
        <v>300</v>
      </c>
      <c r="O40" s="609"/>
      <c r="P40" s="610">
        <v>400</v>
      </c>
      <c r="Q40" s="610"/>
      <c r="R40" s="609">
        <v>995</v>
      </c>
      <c r="S40" s="609"/>
      <c r="T40" s="611">
        <v>995</v>
      </c>
      <c r="U40" s="611"/>
      <c r="V40" s="613"/>
      <c r="W40" s="613"/>
      <c r="Z40" s="57" t="s">
        <v>7</v>
      </c>
      <c r="AA40" s="57">
        <v>846.59999999999991</v>
      </c>
    </row>
    <row r="41" spans="1:27" ht="11.25" customHeight="1">
      <c r="A41" s="607">
        <v>1</v>
      </c>
      <c r="B41" s="607"/>
      <c r="C41" s="607"/>
      <c r="D41" s="607">
        <v>2410600</v>
      </c>
      <c r="E41" s="607"/>
      <c r="F41" s="607"/>
      <c r="G41" s="607"/>
      <c r="H41" s="608" t="s">
        <v>180</v>
      </c>
      <c r="I41" s="608"/>
      <c r="J41" s="608"/>
      <c r="K41" s="608"/>
      <c r="L41" s="608"/>
      <c r="M41" s="608"/>
      <c r="N41" s="609">
        <v>300</v>
      </c>
      <c r="O41" s="609"/>
      <c r="P41" s="610">
        <v>400</v>
      </c>
      <c r="Q41" s="610"/>
      <c r="R41" s="609">
        <v>995</v>
      </c>
      <c r="S41" s="609"/>
      <c r="T41" s="611">
        <v>995</v>
      </c>
      <c r="U41" s="611"/>
      <c r="V41" s="613"/>
      <c r="W41" s="613"/>
    </row>
    <row r="42" spans="1:27" ht="11.25" customHeight="1">
      <c r="A42" s="607">
        <v>1</v>
      </c>
      <c r="B42" s="607"/>
      <c r="C42" s="607"/>
      <c r="D42" s="607">
        <v>2410600</v>
      </c>
      <c r="E42" s="607"/>
      <c r="F42" s="607"/>
      <c r="G42" s="607"/>
      <c r="H42" s="608" t="s">
        <v>180</v>
      </c>
      <c r="I42" s="608"/>
      <c r="J42" s="608"/>
      <c r="K42" s="608"/>
      <c r="L42" s="608"/>
      <c r="M42" s="608"/>
      <c r="N42" s="609">
        <v>300</v>
      </c>
      <c r="O42" s="609"/>
      <c r="P42" s="610">
        <v>400</v>
      </c>
      <c r="Q42" s="610"/>
      <c r="R42" s="609">
        <v>995</v>
      </c>
      <c r="S42" s="609"/>
      <c r="T42" s="611">
        <v>995</v>
      </c>
      <c r="U42" s="611"/>
      <c r="V42" s="613"/>
      <c r="W42" s="613"/>
    </row>
    <row r="43" spans="1:27" ht="11.25" customHeight="1">
      <c r="A43" s="607">
        <v>1</v>
      </c>
      <c r="B43" s="607"/>
      <c r="C43" s="607"/>
      <c r="D43" s="607">
        <v>2410600</v>
      </c>
      <c r="E43" s="607"/>
      <c r="F43" s="607"/>
      <c r="G43" s="607"/>
      <c r="H43" s="608" t="s">
        <v>180</v>
      </c>
      <c r="I43" s="608"/>
      <c r="J43" s="608"/>
      <c r="K43" s="608"/>
      <c r="L43" s="608"/>
      <c r="M43" s="608"/>
      <c r="N43" s="609">
        <v>300</v>
      </c>
      <c r="O43" s="609"/>
      <c r="P43" s="610">
        <v>400</v>
      </c>
      <c r="Q43" s="610"/>
      <c r="R43" s="609">
        <v>995</v>
      </c>
      <c r="S43" s="609"/>
      <c r="T43" s="611">
        <v>995</v>
      </c>
      <c r="U43" s="611"/>
      <c r="V43" s="613"/>
      <c r="W43" s="613"/>
    </row>
    <row r="44" spans="1:27" ht="11.25" customHeight="1">
      <c r="A44" s="607">
        <v>1</v>
      </c>
      <c r="B44" s="607"/>
      <c r="C44" s="607"/>
      <c r="D44" s="607">
        <v>2410600</v>
      </c>
      <c r="E44" s="607"/>
      <c r="F44" s="607"/>
      <c r="G44" s="607"/>
      <c r="H44" s="608" t="s">
        <v>180</v>
      </c>
      <c r="I44" s="608"/>
      <c r="J44" s="608"/>
      <c r="K44" s="608"/>
      <c r="L44" s="608"/>
      <c r="M44" s="608"/>
      <c r="N44" s="609">
        <v>300</v>
      </c>
      <c r="O44" s="609"/>
      <c r="P44" s="610">
        <v>400</v>
      </c>
      <c r="Q44" s="610"/>
      <c r="R44" s="609">
        <v>995</v>
      </c>
      <c r="S44" s="609"/>
      <c r="T44" s="611">
        <v>995</v>
      </c>
      <c r="U44" s="611"/>
      <c r="V44" s="613"/>
      <c r="W44" s="613"/>
    </row>
    <row r="45" spans="1:27" ht="11.25" customHeight="1">
      <c r="A45" s="607">
        <v>1</v>
      </c>
      <c r="B45" s="607"/>
      <c r="C45" s="607"/>
      <c r="D45" s="607">
        <v>2410600</v>
      </c>
      <c r="E45" s="607"/>
      <c r="F45" s="607"/>
      <c r="G45" s="607"/>
      <c r="H45" s="608" t="s">
        <v>180</v>
      </c>
      <c r="I45" s="608"/>
      <c r="J45" s="608"/>
      <c r="K45" s="608"/>
      <c r="L45" s="608"/>
      <c r="M45" s="608"/>
      <c r="N45" s="609">
        <v>300</v>
      </c>
      <c r="O45" s="609"/>
      <c r="P45" s="610">
        <v>400</v>
      </c>
      <c r="Q45" s="610"/>
      <c r="R45" s="609">
        <v>995</v>
      </c>
      <c r="S45" s="609"/>
      <c r="T45" s="611">
        <v>995</v>
      </c>
      <c r="U45" s="611"/>
      <c r="V45" s="613"/>
      <c r="W45" s="613"/>
    </row>
    <row r="46" spans="1:27" ht="11.25" customHeight="1">
      <c r="A46" s="607">
        <v>1</v>
      </c>
      <c r="B46" s="607"/>
      <c r="C46" s="607"/>
      <c r="D46" s="607">
        <v>2410600</v>
      </c>
      <c r="E46" s="607"/>
      <c r="F46" s="607"/>
      <c r="G46" s="607"/>
      <c r="H46" s="608" t="s">
        <v>180</v>
      </c>
      <c r="I46" s="608"/>
      <c r="J46" s="608"/>
      <c r="K46" s="608"/>
      <c r="L46" s="608"/>
      <c r="M46" s="608"/>
      <c r="N46" s="609">
        <v>300</v>
      </c>
      <c r="O46" s="609"/>
      <c r="P46" s="610">
        <v>400</v>
      </c>
      <c r="Q46" s="610"/>
      <c r="R46" s="609">
        <v>995</v>
      </c>
      <c r="S46" s="609"/>
      <c r="T46" s="611">
        <v>995</v>
      </c>
      <c r="U46" s="611"/>
      <c r="V46" s="613"/>
      <c r="W46" s="613"/>
    </row>
    <row r="47" spans="1:27" ht="11.25" customHeight="1">
      <c r="A47" s="607">
        <v>1</v>
      </c>
      <c r="B47" s="607"/>
      <c r="C47" s="607"/>
      <c r="D47" s="607">
        <v>2410600</v>
      </c>
      <c r="E47" s="607"/>
      <c r="F47" s="607"/>
      <c r="G47" s="607"/>
      <c r="H47" s="608" t="s">
        <v>180</v>
      </c>
      <c r="I47" s="608"/>
      <c r="J47" s="608"/>
      <c r="K47" s="608"/>
      <c r="L47" s="608"/>
      <c r="M47" s="608"/>
      <c r="N47" s="609">
        <v>300</v>
      </c>
      <c r="O47" s="609"/>
      <c r="P47" s="610">
        <v>400</v>
      </c>
      <c r="Q47" s="610"/>
      <c r="R47" s="609">
        <v>995</v>
      </c>
      <c r="S47" s="609"/>
      <c r="T47" s="611">
        <v>995</v>
      </c>
      <c r="U47" s="611"/>
      <c r="V47" s="613"/>
      <c r="W47" s="613"/>
    </row>
    <row r="48" spans="1:27" ht="11.25" customHeight="1">
      <c r="A48" s="607">
        <v>1</v>
      </c>
      <c r="B48" s="607"/>
      <c r="C48" s="607"/>
      <c r="D48" s="607">
        <v>2410600</v>
      </c>
      <c r="E48" s="607"/>
      <c r="F48" s="607"/>
      <c r="G48" s="607"/>
      <c r="H48" s="608" t="s">
        <v>180</v>
      </c>
      <c r="I48" s="608"/>
      <c r="J48" s="608"/>
      <c r="K48" s="608"/>
      <c r="L48" s="608"/>
      <c r="M48" s="608"/>
      <c r="N48" s="609">
        <v>300</v>
      </c>
      <c r="O48" s="609"/>
      <c r="P48" s="610">
        <v>400</v>
      </c>
      <c r="Q48" s="610"/>
      <c r="R48" s="609">
        <v>995</v>
      </c>
      <c r="S48" s="609"/>
      <c r="T48" s="611">
        <v>995</v>
      </c>
      <c r="U48" s="611"/>
      <c r="V48" s="613"/>
      <c r="W48" s="613"/>
    </row>
    <row r="49" spans="1:23" ht="11.25" customHeight="1">
      <c r="A49" s="607">
        <v>1</v>
      </c>
      <c r="B49" s="607"/>
      <c r="C49" s="607"/>
      <c r="D49" s="607">
        <v>2410600</v>
      </c>
      <c r="E49" s="607"/>
      <c r="F49" s="607"/>
      <c r="G49" s="607"/>
      <c r="H49" s="608" t="s">
        <v>180</v>
      </c>
      <c r="I49" s="608"/>
      <c r="J49" s="608"/>
      <c r="K49" s="608"/>
      <c r="L49" s="608"/>
      <c r="M49" s="608"/>
      <c r="N49" s="609">
        <v>300</v>
      </c>
      <c r="O49" s="609"/>
      <c r="P49" s="610">
        <v>400</v>
      </c>
      <c r="Q49" s="610"/>
      <c r="R49" s="609">
        <v>995</v>
      </c>
      <c r="S49" s="609"/>
      <c r="T49" s="611">
        <v>995</v>
      </c>
      <c r="U49" s="611"/>
      <c r="V49" s="613"/>
      <c r="W49" s="613"/>
    </row>
    <row r="50" spans="1:23" ht="11.25" customHeight="1">
      <c r="A50" s="607">
        <v>1</v>
      </c>
      <c r="B50" s="607"/>
      <c r="C50" s="607"/>
      <c r="D50" s="607">
        <v>2410600</v>
      </c>
      <c r="E50" s="607"/>
      <c r="F50" s="607"/>
      <c r="G50" s="607"/>
      <c r="H50" s="608" t="s">
        <v>180</v>
      </c>
      <c r="I50" s="608"/>
      <c r="J50" s="608"/>
      <c r="K50" s="608"/>
      <c r="L50" s="608"/>
      <c r="M50" s="608"/>
      <c r="N50" s="609">
        <v>300</v>
      </c>
      <c r="O50" s="609"/>
      <c r="P50" s="610">
        <v>400</v>
      </c>
      <c r="Q50" s="610"/>
      <c r="R50" s="609">
        <v>995</v>
      </c>
      <c r="S50" s="609"/>
      <c r="T50" s="611">
        <v>995</v>
      </c>
      <c r="U50" s="611"/>
      <c r="V50" s="613"/>
      <c r="W50" s="613"/>
    </row>
    <row r="51" spans="1:23" ht="11.25" customHeight="1">
      <c r="A51" s="607">
        <v>1</v>
      </c>
      <c r="B51" s="607"/>
      <c r="C51" s="607"/>
      <c r="D51" s="607">
        <v>2410600</v>
      </c>
      <c r="E51" s="607"/>
      <c r="F51" s="607"/>
      <c r="G51" s="607"/>
      <c r="H51" s="608" t="s">
        <v>180</v>
      </c>
      <c r="I51" s="608"/>
      <c r="J51" s="608"/>
      <c r="K51" s="608"/>
      <c r="L51" s="608"/>
      <c r="M51" s="608"/>
      <c r="N51" s="609">
        <v>300</v>
      </c>
      <c r="O51" s="609"/>
      <c r="P51" s="610">
        <v>400</v>
      </c>
      <c r="Q51" s="610"/>
      <c r="R51" s="609">
        <v>995</v>
      </c>
      <c r="S51" s="609"/>
      <c r="T51" s="611">
        <v>995</v>
      </c>
      <c r="U51" s="611"/>
      <c r="V51" s="613"/>
      <c r="W51" s="613"/>
    </row>
    <row r="52" spans="1:23" ht="11.25" customHeight="1">
      <c r="A52" s="607">
        <v>1</v>
      </c>
      <c r="B52" s="607"/>
      <c r="C52" s="607"/>
      <c r="D52" s="607">
        <v>2410600</v>
      </c>
      <c r="E52" s="607"/>
      <c r="F52" s="607"/>
      <c r="G52" s="607"/>
      <c r="H52" s="608" t="s">
        <v>180</v>
      </c>
      <c r="I52" s="608"/>
      <c r="J52" s="608"/>
      <c r="K52" s="608"/>
      <c r="L52" s="608"/>
      <c r="M52" s="608"/>
      <c r="N52" s="609">
        <v>300</v>
      </c>
      <c r="O52" s="609"/>
      <c r="P52" s="610">
        <v>400</v>
      </c>
      <c r="Q52" s="610"/>
      <c r="R52" s="609">
        <v>995</v>
      </c>
      <c r="S52" s="609"/>
      <c r="T52" s="611">
        <v>995</v>
      </c>
      <c r="U52" s="611"/>
      <c r="V52" s="613"/>
      <c r="W52" s="613"/>
    </row>
    <row r="53" spans="1:23" ht="11.25" customHeight="1">
      <c r="A53" s="607">
        <v>1</v>
      </c>
      <c r="B53" s="607"/>
      <c r="C53" s="607"/>
      <c r="D53" s="607">
        <v>2410600</v>
      </c>
      <c r="E53" s="607"/>
      <c r="F53" s="607"/>
      <c r="G53" s="607"/>
      <c r="H53" s="608" t="s">
        <v>180</v>
      </c>
      <c r="I53" s="608"/>
      <c r="J53" s="608"/>
      <c r="K53" s="608"/>
      <c r="L53" s="608"/>
      <c r="M53" s="608"/>
      <c r="N53" s="609">
        <v>300</v>
      </c>
      <c r="O53" s="609"/>
      <c r="P53" s="610">
        <v>400</v>
      </c>
      <c r="Q53" s="610"/>
      <c r="R53" s="609">
        <v>995</v>
      </c>
      <c r="S53" s="609"/>
      <c r="T53" s="611">
        <v>995</v>
      </c>
      <c r="U53" s="611"/>
      <c r="V53" s="613"/>
      <c r="W53" s="613"/>
    </row>
    <row r="54" spans="1:23" ht="11.25" customHeight="1">
      <c r="A54" s="607">
        <v>1</v>
      </c>
      <c r="B54" s="607"/>
      <c r="C54" s="607"/>
      <c r="D54" s="607">
        <v>2410600</v>
      </c>
      <c r="E54" s="607"/>
      <c r="F54" s="607"/>
      <c r="G54" s="607"/>
      <c r="H54" s="608" t="s">
        <v>180</v>
      </c>
      <c r="I54" s="608"/>
      <c r="J54" s="608"/>
      <c r="K54" s="608"/>
      <c r="L54" s="608"/>
      <c r="M54" s="608"/>
      <c r="N54" s="609">
        <v>300</v>
      </c>
      <c r="O54" s="609"/>
      <c r="P54" s="610">
        <v>400</v>
      </c>
      <c r="Q54" s="610"/>
      <c r="R54" s="609">
        <v>995</v>
      </c>
      <c r="S54" s="609"/>
      <c r="T54" s="611">
        <v>995</v>
      </c>
      <c r="U54" s="611"/>
      <c r="V54" s="613"/>
      <c r="W54" s="613"/>
    </row>
    <row r="55" spans="1:23" ht="11.25" customHeight="1">
      <c r="A55" s="607">
        <v>1</v>
      </c>
      <c r="B55" s="607"/>
      <c r="C55" s="607"/>
      <c r="D55" s="607">
        <v>2410600</v>
      </c>
      <c r="E55" s="607"/>
      <c r="F55" s="607"/>
      <c r="G55" s="607"/>
      <c r="H55" s="608" t="s">
        <v>180</v>
      </c>
      <c r="I55" s="608"/>
      <c r="J55" s="608"/>
      <c r="K55" s="608"/>
      <c r="L55" s="608"/>
      <c r="M55" s="608"/>
      <c r="N55" s="609">
        <v>300</v>
      </c>
      <c r="O55" s="609"/>
      <c r="P55" s="610">
        <v>400</v>
      </c>
      <c r="Q55" s="610"/>
      <c r="R55" s="609">
        <v>995</v>
      </c>
      <c r="S55" s="609"/>
      <c r="T55" s="611">
        <v>995</v>
      </c>
      <c r="U55" s="611"/>
      <c r="V55" s="613"/>
      <c r="W55" s="613"/>
    </row>
    <row r="56" spans="1:23" ht="11.25" customHeight="1">
      <c r="A56" s="607">
        <v>1</v>
      </c>
      <c r="B56" s="607"/>
      <c r="C56" s="607"/>
      <c r="D56" s="607">
        <v>2410600</v>
      </c>
      <c r="E56" s="607"/>
      <c r="F56" s="607"/>
      <c r="G56" s="607"/>
      <c r="H56" s="608" t="s">
        <v>180</v>
      </c>
      <c r="I56" s="608"/>
      <c r="J56" s="608"/>
      <c r="K56" s="608"/>
      <c r="L56" s="608"/>
      <c r="M56" s="608"/>
      <c r="N56" s="609">
        <v>300</v>
      </c>
      <c r="O56" s="609"/>
      <c r="P56" s="610">
        <v>400</v>
      </c>
      <c r="Q56" s="610"/>
      <c r="R56" s="609">
        <v>995</v>
      </c>
      <c r="S56" s="609"/>
      <c r="T56" s="611">
        <v>995</v>
      </c>
      <c r="U56" s="611"/>
      <c r="V56" s="613"/>
      <c r="W56" s="613"/>
    </row>
    <row r="57" spans="1:23" ht="11.25" customHeight="1">
      <c r="A57" s="607">
        <v>1</v>
      </c>
      <c r="B57" s="607"/>
      <c r="C57" s="607"/>
      <c r="D57" s="607">
        <v>2410600</v>
      </c>
      <c r="E57" s="607"/>
      <c r="F57" s="607"/>
      <c r="G57" s="607"/>
      <c r="H57" s="608" t="s">
        <v>180</v>
      </c>
      <c r="I57" s="608"/>
      <c r="J57" s="608"/>
      <c r="K57" s="608"/>
      <c r="L57" s="608"/>
      <c r="M57" s="608"/>
      <c r="N57" s="609">
        <v>300</v>
      </c>
      <c r="O57" s="609"/>
      <c r="P57" s="610">
        <v>400</v>
      </c>
      <c r="Q57" s="610"/>
      <c r="R57" s="609">
        <v>995</v>
      </c>
      <c r="S57" s="609"/>
      <c r="T57" s="611">
        <v>995</v>
      </c>
      <c r="U57" s="611"/>
      <c r="V57" s="613"/>
      <c r="W57" s="613"/>
    </row>
    <row r="58" spans="1:23" ht="11.25" customHeight="1">
      <c r="A58" s="607">
        <v>1</v>
      </c>
      <c r="B58" s="607"/>
      <c r="C58" s="607"/>
      <c r="D58" s="607">
        <v>2410600</v>
      </c>
      <c r="E58" s="607"/>
      <c r="F58" s="607"/>
      <c r="G58" s="607"/>
      <c r="H58" s="608" t="s">
        <v>180</v>
      </c>
      <c r="I58" s="608"/>
      <c r="J58" s="608"/>
      <c r="K58" s="608"/>
      <c r="L58" s="608"/>
      <c r="M58" s="608"/>
      <c r="N58" s="609">
        <v>300</v>
      </c>
      <c r="O58" s="609"/>
      <c r="P58" s="610">
        <v>400</v>
      </c>
      <c r="Q58" s="610"/>
      <c r="R58" s="609">
        <v>995</v>
      </c>
      <c r="S58" s="609"/>
      <c r="T58" s="611">
        <v>995</v>
      </c>
      <c r="U58" s="611"/>
      <c r="V58" s="613"/>
      <c r="W58" s="613"/>
    </row>
    <row r="59" spans="1:23" ht="11.25" customHeight="1">
      <c r="A59" s="607">
        <v>1</v>
      </c>
      <c r="B59" s="607"/>
      <c r="C59" s="607"/>
      <c r="D59" s="607">
        <v>2410600</v>
      </c>
      <c r="E59" s="607"/>
      <c r="F59" s="607"/>
      <c r="G59" s="607"/>
      <c r="H59" s="608" t="s">
        <v>180</v>
      </c>
      <c r="I59" s="608"/>
      <c r="J59" s="608"/>
      <c r="K59" s="608"/>
      <c r="L59" s="608"/>
      <c r="M59" s="608"/>
      <c r="N59" s="609">
        <v>300</v>
      </c>
      <c r="O59" s="609"/>
      <c r="P59" s="610">
        <v>400</v>
      </c>
      <c r="Q59" s="610"/>
      <c r="R59" s="609">
        <v>995</v>
      </c>
      <c r="S59" s="609"/>
      <c r="T59" s="611">
        <v>995</v>
      </c>
      <c r="U59" s="611"/>
      <c r="V59" s="613"/>
      <c r="W59" s="613"/>
    </row>
    <row r="60" spans="1:23" ht="11.25" customHeight="1">
      <c r="A60" s="607">
        <v>1</v>
      </c>
      <c r="B60" s="607"/>
      <c r="C60" s="607"/>
      <c r="D60" s="607">
        <v>2410600</v>
      </c>
      <c r="E60" s="607"/>
      <c r="F60" s="607"/>
      <c r="G60" s="607"/>
      <c r="H60" s="608" t="s">
        <v>180</v>
      </c>
      <c r="I60" s="608"/>
      <c r="J60" s="608"/>
      <c r="K60" s="608"/>
      <c r="L60" s="608"/>
      <c r="M60" s="608"/>
      <c r="N60" s="609">
        <v>300</v>
      </c>
      <c r="O60" s="609"/>
      <c r="P60" s="610">
        <v>400</v>
      </c>
      <c r="Q60" s="610"/>
      <c r="R60" s="609">
        <v>995</v>
      </c>
      <c r="S60" s="609"/>
      <c r="T60" s="611">
        <v>995</v>
      </c>
      <c r="U60" s="611"/>
      <c r="V60" s="613"/>
      <c r="W60" s="613"/>
    </row>
    <row r="61" spans="1:23" ht="11.25" customHeight="1">
      <c r="A61" s="607">
        <v>1</v>
      </c>
      <c r="B61" s="607"/>
      <c r="C61" s="607"/>
      <c r="D61" s="607">
        <v>2410600</v>
      </c>
      <c r="E61" s="607"/>
      <c r="F61" s="607"/>
      <c r="G61" s="607"/>
      <c r="H61" s="608" t="s">
        <v>180</v>
      </c>
      <c r="I61" s="608"/>
      <c r="J61" s="608"/>
      <c r="K61" s="608"/>
      <c r="L61" s="608"/>
      <c r="M61" s="608"/>
      <c r="N61" s="609">
        <v>300</v>
      </c>
      <c r="O61" s="609"/>
      <c r="P61" s="610">
        <v>400</v>
      </c>
      <c r="Q61" s="610"/>
      <c r="R61" s="609">
        <v>995</v>
      </c>
      <c r="S61" s="609"/>
      <c r="T61" s="611">
        <v>995</v>
      </c>
      <c r="U61" s="611"/>
      <c r="V61" s="613"/>
      <c r="W61" s="613"/>
    </row>
    <row r="62" spans="1:23" ht="11.25" customHeight="1">
      <c r="A62" s="607">
        <v>1</v>
      </c>
      <c r="B62" s="607"/>
      <c r="C62" s="607"/>
      <c r="D62" s="607">
        <v>2410600</v>
      </c>
      <c r="E62" s="607"/>
      <c r="F62" s="607"/>
      <c r="G62" s="607"/>
      <c r="H62" s="608" t="s">
        <v>180</v>
      </c>
      <c r="I62" s="608"/>
      <c r="J62" s="608"/>
      <c r="K62" s="608"/>
      <c r="L62" s="608"/>
      <c r="M62" s="608"/>
      <c r="N62" s="609">
        <v>300</v>
      </c>
      <c r="O62" s="609"/>
      <c r="P62" s="610">
        <v>400</v>
      </c>
      <c r="Q62" s="610"/>
      <c r="R62" s="609">
        <v>995</v>
      </c>
      <c r="S62" s="609"/>
      <c r="T62" s="611">
        <v>995</v>
      </c>
      <c r="U62" s="611"/>
      <c r="V62" s="613"/>
      <c r="W62" s="613"/>
    </row>
    <row r="63" spans="1:23" ht="11.25" customHeight="1">
      <c r="A63" s="607">
        <v>1</v>
      </c>
      <c r="B63" s="607"/>
      <c r="C63" s="607"/>
      <c r="D63" s="607">
        <v>2410600</v>
      </c>
      <c r="E63" s="607"/>
      <c r="F63" s="607"/>
      <c r="G63" s="607"/>
      <c r="H63" s="608" t="s">
        <v>180</v>
      </c>
      <c r="I63" s="608"/>
      <c r="J63" s="608"/>
      <c r="K63" s="608"/>
      <c r="L63" s="608"/>
      <c r="M63" s="608"/>
      <c r="N63" s="609">
        <v>300</v>
      </c>
      <c r="O63" s="609"/>
      <c r="P63" s="610">
        <v>400</v>
      </c>
      <c r="Q63" s="610"/>
      <c r="R63" s="609">
        <v>995</v>
      </c>
      <c r="S63" s="609"/>
      <c r="T63" s="611">
        <v>995</v>
      </c>
      <c r="U63" s="611"/>
      <c r="V63" s="613"/>
      <c r="W63" s="613"/>
    </row>
    <row r="64" spans="1:23" ht="11.25" customHeight="1">
      <c r="A64" s="607">
        <v>1</v>
      </c>
      <c r="B64" s="607"/>
      <c r="C64" s="607"/>
      <c r="D64" s="607">
        <v>2410600</v>
      </c>
      <c r="E64" s="607"/>
      <c r="F64" s="607"/>
      <c r="G64" s="607"/>
      <c r="H64" s="608" t="s">
        <v>180</v>
      </c>
      <c r="I64" s="608"/>
      <c r="J64" s="608"/>
      <c r="K64" s="608"/>
      <c r="L64" s="608"/>
      <c r="M64" s="608"/>
      <c r="N64" s="609">
        <v>300</v>
      </c>
      <c r="O64" s="609"/>
      <c r="P64" s="610">
        <v>400</v>
      </c>
      <c r="Q64" s="610"/>
      <c r="R64" s="609">
        <v>995</v>
      </c>
      <c r="S64" s="609"/>
      <c r="T64" s="611">
        <v>995</v>
      </c>
      <c r="U64" s="611"/>
      <c r="V64" s="613"/>
      <c r="W64" s="613"/>
    </row>
    <row r="65" spans="1:44" ht="11.25" customHeight="1">
      <c r="A65" s="607">
        <v>1</v>
      </c>
      <c r="B65" s="607"/>
      <c r="C65" s="607"/>
      <c r="D65" s="607">
        <v>2410600</v>
      </c>
      <c r="E65" s="607"/>
      <c r="F65" s="607"/>
      <c r="G65" s="607"/>
      <c r="H65" s="608" t="s">
        <v>180</v>
      </c>
      <c r="I65" s="608"/>
      <c r="J65" s="608"/>
      <c r="K65" s="608"/>
      <c r="L65" s="608"/>
      <c r="M65" s="608"/>
      <c r="N65" s="609">
        <v>300</v>
      </c>
      <c r="O65" s="609"/>
      <c r="P65" s="610">
        <v>400</v>
      </c>
      <c r="Q65" s="610"/>
      <c r="R65" s="609">
        <v>995</v>
      </c>
      <c r="S65" s="609"/>
      <c r="T65" s="611">
        <v>995</v>
      </c>
      <c r="U65" s="611"/>
      <c r="V65" s="613"/>
      <c r="W65" s="613"/>
    </row>
    <row r="66" spans="1:44" ht="24" customHeight="1">
      <c r="A66" s="607">
        <v>370</v>
      </c>
      <c r="B66" s="607"/>
      <c r="C66" s="607"/>
      <c r="D66" s="615" t="s">
        <v>44</v>
      </c>
      <c r="E66" s="615"/>
      <c r="F66" s="615"/>
      <c r="G66" s="615"/>
      <c r="H66" s="608" t="s">
        <v>45</v>
      </c>
      <c r="I66" s="608"/>
      <c r="J66" s="608"/>
      <c r="K66" s="608"/>
      <c r="L66" s="608"/>
      <c r="M66" s="608"/>
      <c r="N66" s="609">
        <v>15</v>
      </c>
      <c r="O66" s="609">
        <v>15</v>
      </c>
      <c r="P66" s="610">
        <v>15</v>
      </c>
      <c r="Q66" s="610"/>
      <c r="R66" s="609">
        <v>30</v>
      </c>
      <c r="S66" s="609"/>
      <c r="T66" s="616">
        <v>11100</v>
      </c>
      <c r="U66" s="616"/>
      <c r="AD66" s="133"/>
      <c r="AE66" s="133"/>
      <c r="AF66" s="133"/>
      <c r="AG66" s="133"/>
      <c r="AH66" s="133"/>
      <c r="AI66" s="133"/>
      <c r="AJ66" s="133"/>
      <c r="AK66" s="61"/>
      <c r="AL66" s="617"/>
      <c r="AM66" s="617"/>
      <c r="AN66" s="618"/>
      <c r="AO66" s="618"/>
      <c r="AP66" s="619"/>
      <c r="AQ66" s="619"/>
    </row>
    <row r="67" spans="1:44" ht="24" customHeight="1">
      <c r="A67" s="614">
        <v>64</v>
      </c>
      <c r="B67" s="614"/>
      <c r="C67" s="614"/>
      <c r="D67" s="615" t="s">
        <v>46</v>
      </c>
      <c r="E67" s="615"/>
      <c r="F67" s="615"/>
      <c r="G67" s="615"/>
      <c r="H67" s="608" t="s">
        <v>47</v>
      </c>
      <c r="I67" s="608"/>
      <c r="J67" s="608"/>
      <c r="K67" s="608"/>
      <c r="L67" s="608"/>
      <c r="M67" s="608"/>
      <c r="N67" s="609">
        <v>10</v>
      </c>
      <c r="O67" s="609">
        <v>10</v>
      </c>
      <c r="P67" s="610">
        <v>10</v>
      </c>
      <c r="Q67" s="610"/>
      <c r="R67" s="609">
        <v>20</v>
      </c>
      <c r="S67" s="609"/>
      <c r="T67" s="616">
        <v>1280</v>
      </c>
      <c r="U67" s="616"/>
      <c r="AC67" s="133"/>
      <c r="AD67" s="133"/>
      <c r="AE67" s="133"/>
      <c r="AF67" s="133"/>
      <c r="AG67" s="133"/>
      <c r="AH67" s="133"/>
      <c r="AI67" s="133"/>
      <c r="AJ67" s="133"/>
      <c r="AK67" s="61"/>
      <c r="AL67" s="617"/>
      <c r="AM67" s="617"/>
      <c r="AN67" s="618"/>
      <c r="AO67" s="618"/>
      <c r="AP67" s="619"/>
      <c r="AQ67" s="619"/>
    </row>
    <row r="68" spans="1:44" ht="24" customHeight="1">
      <c r="A68" s="614">
        <v>5</v>
      </c>
      <c r="B68" s="614"/>
      <c r="C68" s="614"/>
      <c r="D68" s="615" t="s">
        <v>46</v>
      </c>
      <c r="E68" s="615"/>
      <c r="F68" s="615"/>
      <c r="G68" s="615"/>
      <c r="H68" s="608" t="s">
        <v>48</v>
      </c>
      <c r="I68" s="608"/>
      <c r="J68" s="608"/>
      <c r="K68" s="608"/>
      <c r="L68" s="608"/>
      <c r="M68" s="608"/>
      <c r="N68" s="609">
        <v>20</v>
      </c>
      <c r="O68" s="609">
        <v>20</v>
      </c>
      <c r="P68" s="610">
        <v>20</v>
      </c>
      <c r="Q68" s="610"/>
      <c r="R68" s="609">
        <v>40</v>
      </c>
      <c r="S68" s="609"/>
      <c r="T68" s="611">
        <v>200</v>
      </c>
      <c r="U68" s="611"/>
      <c r="AC68" s="133"/>
      <c r="AD68" s="133"/>
      <c r="AE68" s="133"/>
      <c r="AF68" s="133"/>
      <c r="AG68" s="133"/>
      <c r="AH68" s="133"/>
      <c r="AI68" s="133"/>
      <c r="AJ68" s="133"/>
      <c r="AK68" s="61"/>
      <c r="AL68" s="617"/>
      <c r="AM68" s="617"/>
      <c r="AN68" s="618"/>
      <c r="AO68" s="618"/>
      <c r="AP68" s="620"/>
      <c r="AQ68" s="620"/>
    </row>
    <row r="69" spans="1:44" ht="24" customHeight="1">
      <c r="A69" s="614">
        <v>1</v>
      </c>
      <c r="B69" s="614"/>
      <c r="C69" s="614"/>
      <c r="D69" s="615" t="s">
        <v>46</v>
      </c>
      <c r="E69" s="615"/>
      <c r="F69" s="615"/>
      <c r="G69" s="615"/>
      <c r="H69" s="608" t="s">
        <v>49</v>
      </c>
      <c r="I69" s="608"/>
      <c r="J69" s="608"/>
      <c r="K69" s="608"/>
      <c r="L69" s="608"/>
      <c r="M69" s="608"/>
      <c r="N69" s="609">
        <v>50</v>
      </c>
      <c r="O69" s="609">
        <v>50</v>
      </c>
      <c r="P69" s="610">
        <v>50</v>
      </c>
      <c r="Q69" s="610"/>
      <c r="R69" s="609">
        <v>100</v>
      </c>
      <c r="S69" s="609"/>
      <c r="T69" s="611">
        <v>100</v>
      </c>
      <c r="U69" s="611"/>
      <c r="AC69" s="133"/>
      <c r="AD69" s="133"/>
      <c r="AE69" s="133"/>
      <c r="AF69" s="133"/>
      <c r="AG69" s="133"/>
      <c r="AH69" s="133"/>
      <c r="AI69" s="133"/>
      <c r="AJ69" s="133"/>
      <c r="AK69" s="61"/>
      <c r="AL69" s="617"/>
      <c r="AM69" s="617"/>
      <c r="AN69" s="618"/>
      <c r="AO69" s="618"/>
      <c r="AP69" s="620"/>
      <c r="AQ69" s="620"/>
    </row>
    <row r="70" spans="1:44" ht="24" customHeight="1">
      <c r="A70" s="614">
        <v>2</v>
      </c>
      <c r="B70" s="614"/>
      <c r="C70" s="614"/>
      <c r="D70" s="615" t="s">
        <v>46</v>
      </c>
      <c r="E70" s="615"/>
      <c r="F70" s="615"/>
      <c r="G70" s="615"/>
      <c r="H70" s="608" t="s">
        <v>49</v>
      </c>
      <c r="I70" s="608"/>
      <c r="J70" s="608"/>
      <c r="K70" s="608"/>
      <c r="L70" s="608"/>
      <c r="M70" s="608"/>
      <c r="N70" s="609">
        <v>5</v>
      </c>
      <c r="O70" s="609">
        <v>5</v>
      </c>
      <c r="P70" s="610">
        <v>5</v>
      </c>
      <c r="Q70" s="610"/>
      <c r="R70" s="609">
        <v>10</v>
      </c>
      <c r="S70" s="609"/>
      <c r="T70" s="611">
        <v>10</v>
      </c>
      <c r="U70" s="611"/>
      <c r="AC70" s="133"/>
      <c r="AD70" s="137"/>
      <c r="AE70" s="137"/>
      <c r="AF70" s="137"/>
      <c r="AG70" s="137"/>
      <c r="AH70" s="137"/>
      <c r="AI70" s="137"/>
      <c r="AJ70" s="137"/>
      <c r="AK70" s="61"/>
      <c r="AL70" s="617"/>
      <c r="AM70" s="617"/>
      <c r="AN70" s="618"/>
      <c r="AO70" s="618"/>
      <c r="AP70" s="620"/>
      <c r="AQ70" s="620"/>
    </row>
    <row r="71" spans="1:44" ht="60" customHeight="1">
      <c r="A71" s="614">
        <v>1</v>
      </c>
      <c r="B71" s="614"/>
      <c r="C71" s="614"/>
      <c r="D71" s="615" t="s">
        <v>46</v>
      </c>
      <c r="E71" s="615"/>
      <c r="F71" s="615"/>
      <c r="G71" s="615"/>
      <c r="H71" s="608" t="s">
        <v>50</v>
      </c>
      <c r="I71" s="608"/>
      <c r="J71" s="608"/>
      <c r="K71" s="608"/>
      <c r="L71" s="608"/>
      <c r="M71" s="608"/>
      <c r="N71" s="609">
        <v>5</v>
      </c>
      <c r="O71" s="609">
        <v>5</v>
      </c>
      <c r="P71" s="610">
        <v>5</v>
      </c>
      <c r="Q71" s="610"/>
      <c r="R71" s="609">
        <v>10</v>
      </c>
      <c r="S71" s="609"/>
      <c r="T71" s="611">
        <v>20</v>
      </c>
      <c r="U71" s="611"/>
      <c r="AC71" s="133"/>
      <c r="AD71" s="134"/>
      <c r="AE71" s="134"/>
      <c r="AF71" s="134"/>
      <c r="AG71" s="134"/>
      <c r="AK71" s="61"/>
      <c r="AL71" s="617"/>
      <c r="AM71" s="617"/>
      <c r="AN71" s="618"/>
      <c r="AO71" s="618"/>
      <c r="AP71" s="620"/>
      <c r="AQ71" s="620"/>
    </row>
    <row r="72" spans="1:44" ht="11.25" customHeight="1">
      <c r="A72" s="607">
        <v>64</v>
      </c>
      <c r="B72" s="607"/>
      <c r="C72" s="607"/>
      <c r="D72" s="615" t="s">
        <v>46</v>
      </c>
      <c r="E72" s="615"/>
      <c r="F72" s="615"/>
      <c r="G72" s="615"/>
      <c r="H72" s="608" t="s">
        <v>51</v>
      </c>
      <c r="I72" s="608"/>
      <c r="J72" s="608"/>
      <c r="K72" s="608"/>
      <c r="L72" s="608"/>
      <c r="M72" s="608"/>
      <c r="N72" s="609">
        <v>5</v>
      </c>
      <c r="O72" s="609"/>
      <c r="P72" s="610">
        <v>5</v>
      </c>
      <c r="Q72" s="610"/>
      <c r="R72" s="609">
        <v>10</v>
      </c>
      <c r="S72" s="609"/>
      <c r="T72" s="611">
        <v>640</v>
      </c>
      <c r="U72" s="611"/>
      <c r="AC72" s="134"/>
      <c r="AD72" s="134"/>
      <c r="AE72" s="134"/>
      <c r="AF72" s="134"/>
      <c r="AG72" s="134"/>
      <c r="AK72" s="618"/>
      <c r="AL72" s="618"/>
      <c r="AM72" s="617"/>
      <c r="AN72" s="617"/>
      <c r="AO72" s="618"/>
      <c r="AP72" s="618"/>
      <c r="AQ72" s="620"/>
      <c r="AR72" s="620"/>
    </row>
    <row r="73" spans="1:44" ht="11.25" customHeight="1">
      <c r="A73" s="607">
        <v>20</v>
      </c>
      <c r="B73" s="607"/>
      <c r="C73" s="607"/>
      <c r="D73" s="615" t="s">
        <v>46</v>
      </c>
      <c r="E73" s="615"/>
      <c r="F73" s="615"/>
      <c r="G73" s="615"/>
      <c r="H73" s="621" t="s">
        <v>52</v>
      </c>
      <c r="I73" s="622"/>
      <c r="J73" s="622"/>
      <c r="K73" s="622"/>
      <c r="L73" s="622"/>
      <c r="M73" s="622"/>
      <c r="N73" s="609">
        <v>10</v>
      </c>
      <c r="O73" s="609"/>
      <c r="P73" s="610">
        <v>10</v>
      </c>
      <c r="Q73" s="610"/>
      <c r="R73" s="609">
        <v>20</v>
      </c>
      <c r="S73" s="609"/>
      <c r="T73" s="611">
        <v>400</v>
      </c>
      <c r="U73" s="611"/>
      <c r="AC73" s="134"/>
      <c r="AD73" s="136"/>
      <c r="AE73" s="136"/>
      <c r="AF73" s="136"/>
      <c r="AG73" s="136"/>
      <c r="AH73" s="136"/>
      <c r="AK73" s="618"/>
      <c r="AL73" s="618"/>
      <c r="AM73" s="617"/>
      <c r="AN73" s="617"/>
      <c r="AO73" s="618"/>
      <c r="AP73" s="618"/>
      <c r="AQ73" s="620"/>
      <c r="AR73" s="620"/>
    </row>
    <row r="74" spans="1:44" ht="24" customHeight="1">
      <c r="A74" s="607">
        <v>8</v>
      </c>
      <c r="B74" s="607"/>
      <c r="C74" s="607"/>
      <c r="D74" s="615" t="s">
        <v>46</v>
      </c>
      <c r="E74" s="615"/>
      <c r="F74" s="615"/>
      <c r="G74" s="615"/>
      <c r="H74" s="608" t="s">
        <v>53</v>
      </c>
      <c r="I74" s="608"/>
      <c r="J74" s="608"/>
      <c r="K74" s="608"/>
      <c r="L74" s="608"/>
      <c r="M74" s="608"/>
      <c r="N74" s="609">
        <v>10</v>
      </c>
      <c r="O74" s="609"/>
      <c r="P74" s="610">
        <v>10</v>
      </c>
      <c r="Q74" s="610"/>
      <c r="R74" s="609">
        <v>20</v>
      </c>
      <c r="S74" s="609"/>
      <c r="T74" s="611">
        <v>160</v>
      </c>
      <c r="U74" s="611"/>
      <c r="AC74" s="135"/>
      <c r="AD74" s="134"/>
      <c r="AE74" s="134"/>
      <c r="AF74" s="134"/>
      <c r="AG74" s="134"/>
      <c r="AK74" s="618"/>
      <c r="AL74" s="618"/>
      <c r="AM74" s="617"/>
      <c r="AN74" s="617"/>
      <c r="AO74" s="618"/>
      <c r="AP74" s="618"/>
      <c r="AQ74" s="620"/>
      <c r="AR74" s="620"/>
    </row>
    <row r="75" spans="1:44" ht="15" customHeight="1">
      <c r="A75" s="607">
        <v>10</v>
      </c>
      <c r="B75" s="607"/>
      <c r="C75" s="607"/>
      <c r="D75" s="615" t="s">
        <v>46</v>
      </c>
      <c r="E75" s="615"/>
      <c r="F75" s="615"/>
      <c r="G75" s="615"/>
      <c r="H75" s="608" t="s">
        <v>53</v>
      </c>
      <c r="I75" s="608"/>
      <c r="J75" s="608"/>
      <c r="K75" s="608"/>
      <c r="L75" s="608"/>
      <c r="M75" s="608"/>
      <c r="N75" s="609">
        <v>10</v>
      </c>
      <c r="O75" s="609"/>
      <c r="P75" s="610">
        <v>10</v>
      </c>
      <c r="Q75" s="610"/>
      <c r="R75" s="609">
        <v>20</v>
      </c>
      <c r="S75" s="609"/>
      <c r="T75" s="611">
        <v>200</v>
      </c>
      <c r="U75" s="611"/>
      <c r="AC75" s="134"/>
      <c r="AD75" s="134"/>
      <c r="AE75" s="134"/>
      <c r="AF75" s="134"/>
      <c r="AG75" s="134"/>
      <c r="AH75" s="62"/>
      <c r="AI75" s="62"/>
      <c r="AJ75" s="62"/>
      <c r="AK75" s="618"/>
      <c r="AL75" s="618"/>
      <c r="AM75" s="617"/>
      <c r="AN75" s="617"/>
      <c r="AO75" s="618"/>
      <c r="AP75" s="618"/>
      <c r="AQ75" s="620"/>
      <c r="AR75" s="620"/>
    </row>
    <row r="76" spans="1:44" ht="12" customHeight="1">
      <c r="A76" s="614">
        <v>6</v>
      </c>
      <c r="B76" s="614"/>
      <c r="C76" s="614"/>
      <c r="D76" s="607">
        <v>2410600</v>
      </c>
      <c r="E76" s="607"/>
      <c r="F76" s="607"/>
      <c r="G76" s="607"/>
      <c r="H76" s="608" t="s">
        <v>54</v>
      </c>
      <c r="I76" s="608"/>
      <c r="J76" s="608"/>
      <c r="K76" s="608"/>
      <c r="L76" s="608"/>
      <c r="M76" s="608"/>
      <c r="N76" s="609">
        <v>0</v>
      </c>
      <c r="O76" s="609"/>
      <c r="P76" s="610">
        <v>0</v>
      </c>
      <c r="Q76" s="610"/>
      <c r="R76" s="609">
        <v>0</v>
      </c>
      <c r="S76" s="609"/>
      <c r="T76" s="611">
        <v>0</v>
      </c>
      <c r="U76" s="611"/>
      <c r="AC76" s="134"/>
      <c r="AD76" s="133"/>
      <c r="AE76" s="133"/>
      <c r="AF76" s="133"/>
      <c r="AG76" s="133"/>
      <c r="AH76" s="133"/>
      <c r="AI76" s="133"/>
      <c r="AJ76" s="133"/>
      <c r="AK76" s="61"/>
      <c r="AL76" s="617"/>
      <c r="AM76" s="617"/>
      <c r="AN76" s="618"/>
      <c r="AO76" s="618"/>
      <c r="AP76" s="620"/>
      <c r="AQ76" s="620"/>
    </row>
    <row r="77" spans="1:44" ht="11.25" customHeight="1">
      <c r="A77" s="623">
        <f>SUM(A2:C76)</f>
        <v>615</v>
      </c>
      <c r="B77" s="614"/>
      <c r="C77" s="614"/>
      <c r="D77" s="607"/>
      <c r="E77" s="607"/>
      <c r="F77" s="607"/>
      <c r="G77" s="607"/>
      <c r="H77" s="608"/>
      <c r="I77" s="608"/>
      <c r="J77" s="608"/>
      <c r="K77" s="608"/>
      <c r="L77" s="608"/>
      <c r="M77" s="608"/>
      <c r="N77" s="609"/>
      <c r="O77" s="609"/>
      <c r="P77" s="610"/>
      <c r="Q77" s="610"/>
      <c r="R77" s="609"/>
      <c r="S77" s="609"/>
      <c r="T77" s="624">
        <f>SUM(T2:U76)</f>
        <v>77790</v>
      </c>
      <c r="U77" s="624"/>
      <c r="AC77" s="133"/>
    </row>
    <row r="78" spans="1:44" ht="11.25" customHeight="1">
      <c r="A78" s="613"/>
      <c r="B78" s="613"/>
      <c r="C78" s="613"/>
      <c r="D78" s="625"/>
      <c r="E78" s="625"/>
      <c r="F78" s="626"/>
      <c r="G78" s="626"/>
      <c r="H78" s="626"/>
      <c r="I78" s="626"/>
      <c r="J78" s="626"/>
      <c r="K78" s="626"/>
      <c r="L78" s="626"/>
      <c r="M78" s="626"/>
      <c r="N78" s="61"/>
      <c r="O78" s="617"/>
      <c r="P78" s="617"/>
      <c r="Q78" s="618"/>
      <c r="R78" s="618"/>
      <c r="S78" s="620"/>
      <c r="T78" s="620"/>
    </row>
    <row r="79" spans="1:44">
      <c r="A79" s="613"/>
      <c r="B79" s="613"/>
      <c r="C79" s="613"/>
      <c r="D79" s="625"/>
      <c r="E79" s="625"/>
      <c r="F79" s="626"/>
      <c r="G79" s="626"/>
      <c r="H79" s="626"/>
      <c r="I79" s="626"/>
      <c r="J79" s="626"/>
      <c r="K79" s="626"/>
      <c r="L79" s="626"/>
      <c r="M79" s="626"/>
      <c r="N79" s="61"/>
      <c r="O79" s="617"/>
      <c r="P79" s="617"/>
      <c r="Q79" s="618"/>
      <c r="R79" s="618"/>
      <c r="S79" s="620"/>
      <c r="T79" s="620"/>
    </row>
    <row r="80" spans="1:44" ht="9" customHeight="1">
      <c r="A80" s="613"/>
      <c r="B80" s="613"/>
      <c r="C80" s="613"/>
      <c r="D80" s="625"/>
      <c r="E80" s="625"/>
      <c r="F80" s="626"/>
      <c r="G80" s="626"/>
      <c r="H80" s="626"/>
      <c r="I80" s="626"/>
      <c r="J80" s="626"/>
      <c r="K80" s="626"/>
      <c r="L80" s="626"/>
      <c r="M80" s="626"/>
      <c r="N80" s="61"/>
      <c r="O80" s="617"/>
      <c r="P80" s="617"/>
      <c r="Q80" s="618"/>
      <c r="R80" s="618"/>
      <c r="S80" s="620"/>
      <c r="T80" s="620"/>
    </row>
    <row r="81" spans="27:28" hidden="1">
      <c r="AA81" s="625"/>
      <c r="AB81" s="625"/>
    </row>
    <row r="82" spans="27:28">
      <c r="AA82" s="625"/>
      <c r="AB82" s="625"/>
    </row>
  </sheetData>
  <mergeCells count="660">
    <mergeCell ref="A78:C78"/>
    <mergeCell ref="D78:E78"/>
    <mergeCell ref="F78:M78"/>
    <mergeCell ref="O78:P78"/>
    <mergeCell ref="Q78:R78"/>
    <mergeCell ref="S78:T78"/>
    <mergeCell ref="AA82:AB82"/>
    <mergeCell ref="A80:C80"/>
    <mergeCell ref="D80:E80"/>
    <mergeCell ref="F80:M80"/>
    <mergeCell ref="O80:P80"/>
    <mergeCell ref="Q80:R80"/>
    <mergeCell ref="S80:T80"/>
    <mergeCell ref="A79:C79"/>
    <mergeCell ref="D79:E79"/>
    <mergeCell ref="F79:M79"/>
    <mergeCell ref="O79:P79"/>
    <mergeCell ref="Q79:R79"/>
    <mergeCell ref="S79:T79"/>
    <mergeCell ref="AA81:AB81"/>
    <mergeCell ref="T76:U76"/>
    <mergeCell ref="AL76:AM76"/>
    <mergeCell ref="AN76:AO76"/>
    <mergeCell ref="AP76:AQ76"/>
    <mergeCell ref="A77:C77"/>
    <mergeCell ref="D77:G77"/>
    <mergeCell ref="H77:M77"/>
    <mergeCell ref="N77:O77"/>
    <mergeCell ref="P77:Q77"/>
    <mergeCell ref="A76:C76"/>
    <mergeCell ref="D76:G76"/>
    <mergeCell ref="H76:M76"/>
    <mergeCell ref="N76:O76"/>
    <mergeCell ref="P76:Q76"/>
    <mergeCell ref="R76:S76"/>
    <mergeCell ref="R77:S77"/>
    <mergeCell ref="T77:U77"/>
    <mergeCell ref="T75:U75"/>
    <mergeCell ref="AK75:AL75"/>
    <mergeCell ref="AM75:AN75"/>
    <mergeCell ref="AO75:AP75"/>
    <mergeCell ref="AQ75:AR75"/>
    <mergeCell ref="A75:C75"/>
    <mergeCell ref="D75:G75"/>
    <mergeCell ref="H75:M75"/>
    <mergeCell ref="N75:O75"/>
    <mergeCell ref="P75:Q75"/>
    <mergeCell ref="R75:S75"/>
    <mergeCell ref="T74:U74"/>
    <mergeCell ref="AK74:AL74"/>
    <mergeCell ref="AM74:AN74"/>
    <mergeCell ref="AO74:AP74"/>
    <mergeCell ref="AQ74:AR74"/>
    <mergeCell ref="A74:C74"/>
    <mergeCell ref="D74:G74"/>
    <mergeCell ref="H74:M74"/>
    <mergeCell ref="N74:O74"/>
    <mergeCell ref="P74:Q74"/>
    <mergeCell ref="R74:S74"/>
    <mergeCell ref="T73:U73"/>
    <mergeCell ref="AK73:AL73"/>
    <mergeCell ref="AM73:AN73"/>
    <mergeCell ref="AO73:AP73"/>
    <mergeCell ref="AQ73:AR73"/>
    <mergeCell ref="A73:C73"/>
    <mergeCell ref="D73:G73"/>
    <mergeCell ref="H73:M73"/>
    <mergeCell ref="N73:O73"/>
    <mergeCell ref="P73:Q73"/>
    <mergeCell ref="R73:S73"/>
    <mergeCell ref="T72:U72"/>
    <mergeCell ref="AK72:AL72"/>
    <mergeCell ref="AM72:AN72"/>
    <mergeCell ref="AO72:AP72"/>
    <mergeCell ref="AQ72:AR72"/>
    <mergeCell ref="A72:C72"/>
    <mergeCell ref="D72:G72"/>
    <mergeCell ref="H72:M72"/>
    <mergeCell ref="N72:O72"/>
    <mergeCell ref="P72:Q72"/>
    <mergeCell ref="R72:S72"/>
    <mergeCell ref="R71:S71"/>
    <mergeCell ref="T71:U71"/>
    <mergeCell ref="AL71:AM71"/>
    <mergeCell ref="AN71:AO71"/>
    <mergeCell ref="AP71:AQ71"/>
    <mergeCell ref="T70:U70"/>
    <mergeCell ref="AL70:AM70"/>
    <mergeCell ref="AN70:AO70"/>
    <mergeCell ref="AP70:AQ70"/>
    <mergeCell ref="R70:S70"/>
    <mergeCell ref="A71:C71"/>
    <mergeCell ref="D71:G71"/>
    <mergeCell ref="H71:M71"/>
    <mergeCell ref="N71:O71"/>
    <mergeCell ref="P71:Q71"/>
    <mergeCell ref="A70:C70"/>
    <mergeCell ref="D70:G70"/>
    <mergeCell ref="H70:M70"/>
    <mergeCell ref="N70:O70"/>
    <mergeCell ref="P70:Q70"/>
    <mergeCell ref="R69:S69"/>
    <mergeCell ref="T69:U69"/>
    <mergeCell ref="AL69:AM69"/>
    <mergeCell ref="AN69:AO69"/>
    <mergeCell ref="AP69:AQ69"/>
    <mergeCell ref="T68:U68"/>
    <mergeCell ref="AL68:AM68"/>
    <mergeCell ref="AN68:AO68"/>
    <mergeCell ref="AP68:AQ68"/>
    <mergeCell ref="R68:S68"/>
    <mergeCell ref="A69:C69"/>
    <mergeCell ref="D69:G69"/>
    <mergeCell ref="H69:M69"/>
    <mergeCell ref="N69:O69"/>
    <mergeCell ref="P69:Q69"/>
    <mergeCell ref="A68:C68"/>
    <mergeCell ref="D68:G68"/>
    <mergeCell ref="H68:M68"/>
    <mergeCell ref="N68:O68"/>
    <mergeCell ref="P68:Q68"/>
    <mergeCell ref="R67:S67"/>
    <mergeCell ref="T67:U67"/>
    <mergeCell ref="AL67:AM67"/>
    <mergeCell ref="AN67:AO67"/>
    <mergeCell ref="AP67:AQ67"/>
    <mergeCell ref="T66:U66"/>
    <mergeCell ref="AL66:AM66"/>
    <mergeCell ref="AN66:AO66"/>
    <mergeCell ref="AP66:AQ66"/>
    <mergeCell ref="R66:S66"/>
    <mergeCell ref="A67:C67"/>
    <mergeCell ref="D67:G67"/>
    <mergeCell ref="H67:M67"/>
    <mergeCell ref="N67:O67"/>
    <mergeCell ref="P67:Q67"/>
    <mergeCell ref="A66:C66"/>
    <mergeCell ref="D66:G66"/>
    <mergeCell ref="H66:M66"/>
    <mergeCell ref="N66:O66"/>
    <mergeCell ref="P66:Q66"/>
    <mergeCell ref="T64:U64"/>
    <mergeCell ref="V64:W64"/>
    <mergeCell ref="A65:C65"/>
    <mergeCell ref="D65:G65"/>
    <mergeCell ref="H65:M65"/>
    <mergeCell ref="N65:O65"/>
    <mergeCell ref="P65:Q65"/>
    <mergeCell ref="R65:S65"/>
    <mergeCell ref="T65:U65"/>
    <mergeCell ref="V65:W65"/>
    <mergeCell ref="A64:C64"/>
    <mergeCell ref="D64:G64"/>
    <mergeCell ref="H64:M64"/>
    <mergeCell ref="N64:O64"/>
    <mergeCell ref="P64:Q64"/>
    <mergeCell ref="R64:S64"/>
    <mergeCell ref="T62:U62"/>
    <mergeCell ref="V62:W62"/>
    <mergeCell ref="A63:C63"/>
    <mergeCell ref="D63:G63"/>
    <mergeCell ref="H63:M63"/>
    <mergeCell ref="N63:O63"/>
    <mergeCell ref="P63:Q63"/>
    <mergeCell ref="R63:S63"/>
    <mergeCell ref="T63:U63"/>
    <mergeCell ref="V63:W63"/>
    <mergeCell ref="A62:C62"/>
    <mergeCell ref="D62:G62"/>
    <mergeCell ref="H62:M62"/>
    <mergeCell ref="N62:O62"/>
    <mergeCell ref="P62:Q62"/>
    <mergeCell ref="R62:S62"/>
    <mergeCell ref="T60:U60"/>
    <mergeCell ref="V60:W60"/>
    <mergeCell ref="A61:C61"/>
    <mergeCell ref="D61:G61"/>
    <mergeCell ref="H61:M61"/>
    <mergeCell ref="N61:O61"/>
    <mergeCell ref="P61:Q61"/>
    <mergeCell ref="R61:S61"/>
    <mergeCell ref="T61:U61"/>
    <mergeCell ref="V61:W61"/>
    <mergeCell ref="A60:C60"/>
    <mergeCell ref="D60:G60"/>
    <mergeCell ref="H60:M60"/>
    <mergeCell ref="N60:O60"/>
    <mergeCell ref="P60:Q60"/>
    <mergeCell ref="R60:S60"/>
    <mergeCell ref="T58:U58"/>
    <mergeCell ref="V58:W58"/>
    <mergeCell ref="A59:C59"/>
    <mergeCell ref="D59:G59"/>
    <mergeCell ref="H59:M59"/>
    <mergeCell ref="N59:O59"/>
    <mergeCell ref="P59:Q59"/>
    <mergeCell ref="R59:S59"/>
    <mergeCell ref="T59:U59"/>
    <mergeCell ref="V59:W59"/>
    <mergeCell ref="A58:C58"/>
    <mergeCell ref="D58:G58"/>
    <mergeCell ref="H58:M58"/>
    <mergeCell ref="N58:O58"/>
    <mergeCell ref="P58:Q58"/>
    <mergeCell ref="R58:S58"/>
    <mergeCell ref="T56:U56"/>
    <mergeCell ref="V56:W56"/>
    <mergeCell ref="A57:C57"/>
    <mergeCell ref="D57:G57"/>
    <mergeCell ref="H57:M57"/>
    <mergeCell ref="N57:O57"/>
    <mergeCell ref="P57:Q57"/>
    <mergeCell ref="R57:S57"/>
    <mergeCell ref="T57:U57"/>
    <mergeCell ref="V57:W57"/>
    <mergeCell ref="A56:C56"/>
    <mergeCell ref="D56:G56"/>
    <mergeCell ref="H56:M56"/>
    <mergeCell ref="N56:O56"/>
    <mergeCell ref="P56:Q56"/>
    <mergeCell ref="R56:S56"/>
    <mergeCell ref="T54:U54"/>
    <mergeCell ref="V54:W54"/>
    <mergeCell ref="A55:C55"/>
    <mergeCell ref="D55:G55"/>
    <mergeCell ref="H55:M55"/>
    <mergeCell ref="N55:O55"/>
    <mergeCell ref="P55:Q55"/>
    <mergeCell ref="R55:S55"/>
    <mergeCell ref="T55:U55"/>
    <mergeCell ref="V55:W55"/>
    <mergeCell ref="A54:C54"/>
    <mergeCell ref="D54:G54"/>
    <mergeCell ref="H54:M54"/>
    <mergeCell ref="N54:O54"/>
    <mergeCell ref="P54:Q54"/>
    <mergeCell ref="R54:S54"/>
    <mergeCell ref="T52:U52"/>
    <mergeCell ref="V52:W52"/>
    <mergeCell ref="A53:C53"/>
    <mergeCell ref="D53:G53"/>
    <mergeCell ref="H53:M53"/>
    <mergeCell ref="N53:O53"/>
    <mergeCell ref="P53:Q53"/>
    <mergeCell ref="R53:S53"/>
    <mergeCell ref="T53:U53"/>
    <mergeCell ref="V53:W53"/>
    <mergeCell ref="A52:C52"/>
    <mergeCell ref="D52:G52"/>
    <mergeCell ref="H52:M52"/>
    <mergeCell ref="N52:O52"/>
    <mergeCell ref="P52:Q52"/>
    <mergeCell ref="R52:S52"/>
    <mergeCell ref="T50:U50"/>
    <mergeCell ref="V50:W50"/>
    <mergeCell ref="A51:C51"/>
    <mergeCell ref="D51:G51"/>
    <mergeCell ref="H51:M51"/>
    <mergeCell ref="N51:O51"/>
    <mergeCell ref="P51:Q51"/>
    <mergeCell ref="R51:S51"/>
    <mergeCell ref="T51:U51"/>
    <mergeCell ref="V51:W51"/>
    <mergeCell ref="A50:C50"/>
    <mergeCell ref="D50:G50"/>
    <mergeCell ref="H50:M50"/>
    <mergeCell ref="N50:O50"/>
    <mergeCell ref="P50:Q50"/>
    <mergeCell ref="R50:S50"/>
    <mergeCell ref="T48:U48"/>
    <mergeCell ref="V48:W48"/>
    <mergeCell ref="A49:C49"/>
    <mergeCell ref="D49:G49"/>
    <mergeCell ref="H49:M49"/>
    <mergeCell ref="N49:O49"/>
    <mergeCell ref="P49:Q49"/>
    <mergeCell ref="R49:S49"/>
    <mergeCell ref="T49:U49"/>
    <mergeCell ref="V49:W49"/>
    <mergeCell ref="A48:C48"/>
    <mergeCell ref="D48:G48"/>
    <mergeCell ref="H48:M48"/>
    <mergeCell ref="N48:O48"/>
    <mergeCell ref="P48:Q48"/>
    <mergeCell ref="R48:S48"/>
    <mergeCell ref="T46:U46"/>
    <mergeCell ref="V46:W46"/>
    <mergeCell ref="A47:C47"/>
    <mergeCell ref="D47:G47"/>
    <mergeCell ref="H47:M47"/>
    <mergeCell ref="N47:O47"/>
    <mergeCell ref="P47:Q47"/>
    <mergeCell ref="R47:S47"/>
    <mergeCell ref="T47:U47"/>
    <mergeCell ref="V47:W47"/>
    <mergeCell ref="A46:C46"/>
    <mergeCell ref="D46:G46"/>
    <mergeCell ref="H46:M46"/>
    <mergeCell ref="N46:O46"/>
    <mergeCell ref="P46:Q46"/>
    <mergeCell ref="R46:S46"/>
    <mergeCell ref="T44:U44"/>
    <mergeCell ref="V44:W44"/>
    <mergeCell ref="A45:C45"/>
    <mergeCell ref="D45:G45"/>
    <mergeCell ref="H45:M45"/>
    <mergeCell ref="N45:O45"/>
    <mergeCell ref="P45:Q45"/>
    <mergeCell ref="R45:S45"/>
    <mergeCell ref="T45:U45"/>
    <mergeCell ref="V45:W45"/>
    <mergeCell ref="A44:C44"/>
    <mergeCell ref="D44:G44"/>
    <mergeCell ref="H44:M44"/>
    <mergeCell ref="N44:O44"/>
    <mergeCell ref="P44:Q44"/>
    <mergeCell ref="R44:S44"/>
    <mergeCell ref="T42:U42"/>
    <mergeCell ref="V42:W42"/>
    <mergeCell ref="A43:C43"/>
    <mergeCell ref="D43:G43"/>
    <mergeCell ref="H43:M43"/>
    <mergeCell ref="N43:O43"/>
    <mergeCell ref="P43:Q43"/>
    <mergeCell ref="R43:S43"/>
    <mergeCell ref="T43:U43"/>
    <mergeCell ref="V43:W43"/>
    <mergeCell ref="A42:C42"/>
    <mergeCell ref="D42:G42"/>
    <mergeCell ref="H42:M42"/>
    <mergeCell ref="N42:O42"/>
    <mergeCell ref="P42:Q42"/>
    <mergeCell ref="R42:S42"/>
    <mergeCell ref="T40:U40"/>
    <mergeCell ref="V40:W40"/>
    <mergeCell ref="A41:C41"/>
    <mergeCell ref="D41:G41"/>
    <mergeCell ref="H41:M41"/>
    <mergeCell ref="N41:O41"/>
    <mergeCell ref="P41:Q41"/>
    <mergeCell ref="R41:S41"/>
    <mergeCell ref="T41:U41"/>
    <mergeCell ref="V41:W41"/>
    <mergeCell ref="A40:C40"/>
    <mergeCell ref="D40:G40"/>
    <mergeCell ref="H40:M40"/>
    <mergeCell ref="N40:O40"/>
    <mergeCell ref="P40:Q40"/>
    <mergeCell ref="R40:S40"/>
    <mergeCell ref="T38:U38"/>
    <mergeCell ref="V38:W38"/>
    <mergeCell ref="A39:C39"/>
    <mergeCell ref="D39:G39"/>
    <mergeCell ref="H39:M39"/>
    <mergeCell ref="N39:O39"/>
    <mergeCell ref="P39:Q39"/>
    <mergeCell ref="R39:S39"/>
    <mergeCell ref="T39:U39"/>
    <mergeCell ref="V39:W39"/>
    <mergeCell ref="A38:C38"/>
    <mergeCell ref="D38:G38"/>
    <mergeCell ref="H38:M38"/>
    <mergeCell ref="N38:O38"/>
    <mergeCell ref="P38:Q38"/>
    <mergeCell ref="R38:S38"/>
    <mergeCell ref="T36:U36"/>
    <mergeCell ref="V36:W36"/>
    <mergeCell ref="A37:C37"/>
    <mergeCell ref="D37:G37"/>
    <mergeCell ref="H37:M37"/>
    <mergeCell ref="N37:O37"/>
    <mergeCell ref="P37:Q37"/>
    <mergeCell ref="R37:S37"/>
    <mergeCell ref="T37:U37"/>
    <mergeCell ref="V37:W37"/>
    <mergeCell ref="A36:C36"/>
    <mergeCell ref="D36:G36"/>
    <mergeCell ref="H36:M36"/>
    <mergeCell ref="N36:O36"/>
    <mergeCell ref="P36:Q36"/>
    <mergeCell ref="R36:S36"/>
    <mergeCell ref="T34:U34"/>
    <mergeCell ref="V34:W34"/>
    <mergeCell ref="A35:C35"/>
    <mergeCell ref="D35:G35"/>
    <mergeCell ref="H35:M35"/>
    <mergeCell ref="N35:O35"/>
    <mergeCell ref="P35:Q35"/>
    <mergeCell ref="R35:S35"/>
    <mergeCell ref="T35:U35"/>
    <mergeCell ref="V35:W35"/>
    <mergeCell ref="A34:C34"/>
    <mergeCell ref="D34:G34"/>
    <mergeCell ref="H34:M34"/>
    <mergeCell ref="N34:O34"/>
    <mergeCell ref="P34:Q34"/>
    <mergeCell ref="R34:S34"/>
    <mergeCell ref="T32:U32"/>
    <mergeCell ref="V32:W32"/>
    <mergeCell ref="A33:C33"/>
    <mergeCell ref="D33:G33"/>
    <mergeCell ref="H33:M33"/>
    <mergeCell ref="N33:O33"/>
    <mergeCell ref="P33:Q33"/>
    <mergeCell ref="R33:S33"/>
    <mergeCell ref="T33:U33"/>
    <mergeCell ref="V33:W33"/>
    <mergeCell ref="A32:C32"/>
    <mergeCell ref="D32:G32"/>
    <mergeCell ref="H32:M32"/>
    <mergeCell ref="N32:O32"/>
    <mergeCell ref="P32:Q32"/>
    <mergeCell ref="R32:S32"/>
    <mergeCell ref="T30:U30"/>
    <mergeCell ref="V30:W30"/>
    <mergeCell ref="A31:C31"/>
    <mergeCell ref="D31:G31"/>
    <mergeCell ref="H31:M31"/>
    <mergeCell ref="N31:O31"/>
    <mergeCell ref="P31:Q31"/>
    <mergeCell ref="R31:S31"/>
    <mergeCell ref="T31:U31"/>
    <mergeCell ref="V31:W31"/>
    <mergeCell ref="A30:C30"/>
    <mergeCell ref="D30:G30"/>
    <mergeCell ref="H30:M30"/>
    <mergeCell ref="N30:O30"/>
    <mergeCell ref="P30:Q30"/>
    <mergeCell ref="R30:S30"/>
    <mergeCell ref="T28:U28"/>
    <mergeCell ref="V28:W28"/>
    <mergeCell ref="A29:C29"/>
    <mergeCell ref="D29:G29"/>
    <mergeCell ref="H29:M29"/>
    <mergeCell ref="N29:O29"/>
    <mergeCell ref="P29:Q29"/>
    <mergeCell ref="R29:S29"/>
    <mergeCell ref="T29:U29"/>
    <mergeCell ref="V29:W29"/>
    <mergeCell ref="A28:C28"/>
    <mergeCell ref="D28:G28"/>
    <mergeCell ref="H28:M28"/>
    <mergeCell ref="N28:O28"/>
    <mergeCell ref="P28:Q28"/>
    <mergeCell ref="R28:S28"/>
    <mergeCell ref="T26:U26"/>
    <mergeCell ref="V26:W26"/>
    <mergeCell ref="A27:C27"/>
    <mergeCell ref="D27:G27"/>
    <mergeCell ref="H27:M27"/>
    <mergeCell ref="N27:O27"/>
    <mergeCell ref="P27:Q27"/>
    <mergeCell ref="R27:S27"/>
    <mergeCell ref="T27:U27"/>
    <mergeCell ref="V27:W27"/>
    <mergeCell ref="A26:C26"/>
    <mergeCell ref="D26:G26"/>
    <mergeCell ref="H26:M26"/>
    <mergeCell ref="N26:O26"/>
    <mergeCell ref="P26:Q26"/>
    <mergeCell ref="R26:S26"/>
    <mergeCell ref="T24:U24"/>
    <mergeCell ref="V24:W24"/>
    <mergeCell ref="A25:C25"/>
    <mergeCell ref="D25:G25"/>
    <mergeCell ref="H25:M25"/>
    <mergeCell ref="N25:O25"/>
    <mergeCell ref="P25:Q25"/>
    <mergeCell ref="R25:S25"/>
    <mergeCell ref="T25:U25"/>
    <mergeCell ref="V25:W25"/>
    <mergeCell ref="A24:C24"/>
    <mergeCell ref="D24:G24"/>
    <mergeCell ref="H24:M24"/>
    <mergeCell ref="N24:O24"/>
    <mergeCell ref="P24:Q24"/>
    <mergeCell ref="R24:S24"/>
    <mergeCell ref="T22:U22"/>
    <mergeCell ref="V22:W22"/>
    <mergeCell ref="A23:C23"/>
    <mergeCell ref="D23:G23"/>
    <mergeCell ref="H23:M23"/>
    <mergeCell ref="N23:O23"/>
    <mergeCell ref="P23:Q23"/>
    <mergeCell ref="R23:S23"/>
    <mergeCell ref="T23:U23"/>
    <mergeCell ref="V23:W23"/>
    <mergeCell ref="A22:C22"/>
    <mergeCell ref="D22:G22"/>
    <mergeCell ref="H22:M22"/>
    <mergeCell ref="N22:O22"/>
    <mergeCell ref="P22:Q22"/>
    <mergeCell ref="R22:S22"/>
    <mergeCell ref="T20:U20"/>
    <mergeCell ref="V20:W20"/>
    <mergeCell ref="A21:C21"/>
    <mergeCell ref="D21:G21"/>
    <mergeCell ref="H21:M21"/>
    <mergeCell ref="N21:O21"/>
    <mergeCell ref="P21:Q21"/>
    <mergeCell ref="R21:S21"/>
    <mergeCell ref="T21:U21"/>
    <mergeCell ref="V21:W21"/>
    <mergeCell ref="A20:C20"/>
    <mergeCell ref="D20:G20"/>
    <mergeCell ref="H20:M20"/>
    <mergeCell ref="N20:O20"/>
    <mergeCell ref="P20:Q20"/>
    <mergeCell ref="R20:S20"/>
    <mergeCell ref="T18:U18"/>
    <mergeCell ref="V18:W18"/>
    <mergeCell ref="A19:C19"/>
    <mergeCell ref="D19:G19"/>
    <mergeCell ref="H19:M19"/>
    <mergeCell ref="N19:O19"/>
    <mergeCell ref="P19:Q19"/>
    <mergeCell ref="R19:S19"/>
    <mergeCell ref="T19:U19"/>
    <mergeCell ref="V19:W19"/>
    <mergeCell ref="A18:C18"/>
    <mergeCell ref="D18:G18"/>
    <mergeCell ref="H18:M18"/>
    <mergeCell ref="N18:O18"/>
    <mergeCell ref="P18:Q18"/>
    <mergeCell ref="R18:S18"/>
    <mergeCell ref="T16:U16"/>
    <mergeCell ref="V16:W16"/>
    <mergeCell ref="A17:C17"/>
    <mergeCell ref="D17:G17"/>
    <mergeCell ref="H17:M17"/>
    <mergeCell ref="N17:O17"/>
    <mergeCell ref="P17:Q17"/>
    <mergeCell ref="R17:S17"/>
    <mergeCell ref="T17:U17"/>
    <mergeCell ref="V17:W17"/>
    <mergeCell ref="A16:C16"/>
    <mergeCell ref="D16:G16"/>
    <mergeCell ref="H16:M16"/>
    <mergeCell ref="N16:O16"/>
    <mergeCell ref="P16:Q16"/>
    <mergeCell ref="R16:S16"/>
    <mergeCell ref="T14:U14"/>
    <mergeCell ref="V14:W14"/>
    <mergeCell ref="A15:C15"/>
    <mergeCell ref="D15:G15"/>
    <mergeCell ref="H15:M15"/>
    <mergeCell ref="N15:O15"/>
    <mergeCell ref="P15:Q15"/>
    <mergeCell ref="R15:S15"/>
    <mergeCell ref="T15:U15"/>
    <mergeCell ref="V15:W15"/>
    <mergeCell ref="A14:C14"/>
    <mergeCell ref="D14:G14"/>
    <mergeCell ref="H14:M14"/>
    <mergeCell ref="N14:O14"/>
    <mergeCell ref="P14:Q14"/>
    <mergeCell ref="R14:S14"/>
    <mergeCell ref="T12:U12"/>
    <mergeCell ref="V12:W12"/>
    <mergeCell ref="A13:C13"/>
    <mergeCell ref="D13:G13"/>
    <mergeCell ref="H13:M13"/>
    <mergeCell ref="N13:O13"/>
    <mergeCell ref="P13:Q13"/>
    <mergeCell ref="R13:S13"/>
    <mergeCell ref="T13:U13"/>
    <mergeCell ref="V13:W13"/>
    <mergeCell ref="A12:C12"/>
    <mergeCell ref="D12:G12"/>
    <mergeCell ref="H12:M12"/>
    <mergeCell ref="N12:O12"/>
    <mergeCell ref="P12:Q12"/>
    <mergeCell ref="R12:S12"/>
    <mergeCell ref="T10:U10"/>
    <mergeCell ref="V10:W10"/>
    <mergeCell ref="A11:C11"/>
    <mergeCell ref="D11:G11"/>
    <mergeCell ref="H11:M11"/>
    <mergeCell ref="N11:O11"/>
    <mergeCell ref="P11:Q11"/>
    <mergeCell ref="R11:S11"/>
    <mergeCell ref="T11:U11"/>
    <mergeCell ref="V11:W11"/>
    <mergeCell ref="A10:C10"/>
    <mergeCell ref="D10:G10"/>
    <mergeCell ref="H10:M10"/>
    <mergeCell ref="N10:O10"/>
    <mergeCell ref="P10:Q10"/>
    <mergeCell ref="R10:S10"/>
    <mergeCell ref="T8:U8"/>
    <mergeCell ref="V8:W8"/>
    <mergeCell ref="A9:C9"/>
    <mergeCell ref="D9:G9"/>
    <mergeCell ref="H9:M9"/>
    <mergeCell ref="N9:O9"/>
    <mergeCell ref="P9:Q9"/>
    <mergeCell ref="R9:S9"/>
    <mergeCell ref="T9:U9"/>
    <mergeCell ref="V9:W9"/>
    <mergeCell ref="A8:C8"/>
    <mergeCell ref="D8:G8"/>
    <mergeCell ref="H8:M8"/>
    <mergeCell ref="N8:O8"/>
    <mergeCell ref="P8:Q8"/>
    <mergeCell ref="R8:S8"/>
    <mergeCell ref="T6:U6"/>
    <mergeCell ref="V6:W6"/>
    <mergeCell ref="A7:C7"/>
    <mergeCell ref="D7:G7"/>
    <mergeCell ref="H7:M7"/>
    <mergeCell ref="N7:O7"/>
    <mergeCell ref="P7:Q7"/>
    <mergeCell ref="R7:S7"/>
    <mergeCell ref="T7:U7"/>
    <mergeCell ref="V7:W7"/>
    <mergeCell ref="A6:C6"/>
    <mergeCell ref="D6:G6"/>
    <mergeCell ref="H6:M6"/>
    <mergeCell ref="N6:O6"/>
    <mergeCell ref="P6:Q6"/>
    <mergeCell ref="R6:S6"/>
    <mergeCell ref="T4:U4"/>
    <mergeCell ref="V4:W4"/>
    <mergeCell ref="A5:C5"/>
    <mergeCell ref="D5:G5"/>
    <mergeCell ref="H5:M5"/>
    <mergeCell ref="N5:O5"/>
    <mergeCell ref="P5:Q5"/>
    <mergeCell ref="R5:S5"/>
    <mergeCell ref="T5:U5"/>
    <mergeCell ref="V5:W5"/>
    <mergeCell ref="A4:C4"/>
    <mergeCell ref="D4:G4"/>
    <mergeCell ref="H4:M4"/>
    <mergeCell ref="N4:O4"/>
    <mergeCell ref="P4:Q4"/>
    <mergeCell ref="R4:S4"/>
    <mergeCell ref="V2:W2"/>
    <mergeCell ref="A3:C3"/>
    <mergeCell ref="D3:G3"/>
    <mergeCell ref="H3:M3"/>
    <mergeCell ref="N3:O3"/>
    <mergeCell ref="P3:Q3"/>
    <mergeCell ref="R3:S3"/>
    <mergeCell ref="T3:U3"/>
    <mergeCell ref="V3:W3"/>
    <mergeCell ref="T1:U1"/>
    <mergeCell ref="A2:C2"/>
    <mergeCell ref="D2:G2"/>
    <mergeCell ref="H2:M2"/>
    <mergeCell ref="N2:O2"/>
    <mergeCell ref="P2:Q2"/>
    <mergeCell ref="R2:S2"/>
    <mergeCell ref="T2:U2"/>
    <mergeCell ref="A1:C1"/>
    <mergeCell ref="D1:G1"/>
    <mergeCell ref="H1:M1"/>
    <mergeCell ref="N1:O1"/>
    <mergeCell ref="P1:Q1"/>
    <mergeCell ref="R1:S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D9062-AA80-4F65-9ECD-3F694EA3D907}">
  <sheetPr codeName="Sheet7"/>
  <dimension ref="A2:L61"/>
  <sheetViews>
    <sheetView topLeftCell="B25" workbookViewId="0">
      <selection activeCell="C57" sqref="C57"/>
    </sheetView>
  </sheetViews>
  <sheetFormatPr defaultRowHeight="15"/>
  <cols>
    <col min="1" max="1" width="33.7109375" customWidth="1"/>
    <col min="2" max="2" width="35.140625" bestFit="1" customWidth="1"/>
    <col min="3" max="3" width="20" style="66" bestFit="1" customWidth="1"/>
    <col min="4" max="4" width="18.28515625" style="66" bestFit="1" customWidth="1"/>
    <col min="5" max="5" width="14.140625" bestFit="1" customWidth="1"/>
    <col min="6" max="6" width="38" bestFit="1" customWidth="1"/>
    <col min="7" max="7" width="11.5703125" bestFit="1" customWidth="1"/>
    <col min="9" max="9" width="30.42578125" bestFit="1" customWidth="1"/>
    <col min="10" max="10" width="13.28515625" bestFit="1" customWidth="1"/>
    <col min="11" max="11" width="19.28515625" bestFit="1" customWidth="1"/>
  </cols>
  <sheetData>
    <row r="2" spans="1:12" ht="15.75" thickBot="1">
      <c r="A2" t="s">
        <v>181</v>
      </c>
    </row>
    <row r="3" spans="1:12">
      <c r="A3" s="138" t="s">
        <v>14</v>
      </c>
      <c r="B3" s="139" t="s">
        <v>32</v>
      </c>
      <c r="C3" s="140" t="s">
        <v>88</v>
      </c>
      <c r="D3" s="140" t="s">
        <v>84</v>
      </c>
      <c r="E3" s="141" t="s">
        <v>86</v>
      </c>
      <c r="K3" t="s">
        <v>215</v>
      </c>
    </row>
    <row r="4" spans="1:12">
      <c r="A4" s="142">
        <v>60</v>
      </c>
      <c r="B4" s="143" t="s">
        <v>85</v>
      </c>
      <c r="C4" s="144">
        <v>1800</v>
      </c>
      <c r="D4" s="144">
        <v>216000</v>
      </c>
      <c r="E4" s="145">
        <f>(D4/A4/C4)*4</f>
        <v>8</v>
      </c>
      <c r="I4" t="s">
        <v>97</v>
      </c>
      <c r="J4" s="58">
        <v>1</v>
      </c>
      <c r="K4">
        <f>4</f>
        <v>4</v>
      </c>
    </row>
    <row r="5" spans="1:12">
      <c r="A5" s="142">
        <v>330</v>
      </c>
      <c r="B5" s="143" t="s">
        <v>87</v>
      </c>
      <c r="C5" s="144">
        <v>30</v>
      </c>
      <c r="D5" s="144">
        <v>19800</v>
      </c>
      <c r="E5" s="145">
        <f>(D5/A5/C5)*4</f>
        <v>8</v>
      </c>
      <c r="I5" s="58" t="s">
        <v>37</v>
      </c>
      <c r="J5" s="58">
        <f>COUNTIF(B4:B33,I5)</f>
        <v>0</v>
      </c>
      <c r="K5">
        <v>0</v>
      </c>
      <c r="L5" s="59"/>
    </row>
    <row r="6" spans="1:12">
      <c r="A6" s="142">
        <v>60</v>
      </c>
      <c r="B6" s="143" t="s">
        <v>78</v>
      </c>
      <c r="C6" s="144">
        <v>20</v>
      </c>
      <c r="D6" s="144">
        <v>2400</v>
      </c>
      <c r="E6" s="145">
        <f>(D6/A6/C6)*4</f>
        <v>8</v>
      </c>
      <c r="I6" s="58" t="s">
        <v>38</v>
      </c>
      <c r="J6" s="58">
        <f>60</f>
        <v>60</v>
      </c>
      <c r="K6">
        <f>8+'SAT 46 LB CO'!H3</f>
        <v>12</v>
      </c>
      <c r="L6" s="57"/>
    </row>
    <row r="7" spans="1:12">
      <c r="A7" s="142">
        <v>5</v>
      </c>
      <c r="B7" s="143" t="s">
        <v>79</v>
      </c>
      <c r="C7" s="144">
        <v>40</v>
      </c>
      <c r="D7" s="144">
        <v>400</v>
      </c>
      <c r="E7" s="145">
        <f t="shared" ref="E7:E30" si="0">(D7/A7/C7)*4</f>
        <v>8</v>
      </c>
      <c r="I7" s="58" t="s">
        <v>214</v>
      </c>
      <c r="J7" s="58">
        <v>6</v>
      </c>
      <c r="K7">
        <f>K6</f>
        <v>12</v>
      </c>
      <c r="L7" s="57"/>
    </row>
    <row r="8" spans="1:12">
      <c r="A8" s="142">
        <v>1</v>
      </c>
      <c r="B8" s="143" t="s">
        <v>80</v>
      </c>
      <c r="C8" s="144">
        <v>100</v>
      </c>
      <c r="D8" s="144">
        <v>200</v>
      </c>
      <c r="E8" s="145">
        <f t="shared" si="0"/>
        <v>8</v>
      </c>
      <c r="I8" s="58" t="s">
        <v>98</v>
      </c>
      <c r="J8" s="58">
        <f>SUM(J4:J7)</f>
        <v>67</v>
      </c>
      <c r="K8" s="58"/>
      <c r="L8" s="57"/>
    </row>
    <row r="9" spans="1:12">
      <c r="A9" s="142">
        <v>1</v>
      </c>
      <c r="B9" s="143" t="s">
        <v>81</v>
      </c>
      <c r="C9" s="144">
        <v>10</v>
      </c>
      <c r="D9" s="144">
        <v>20</v>
      </c>
      <c r="E9" s="145">
        <f t="shared" si="0"/>
        <v>8</v>
      </c>
      <c r="I9" s="58"/>
      <c r="J9" s="58"/>
      <c r="K9" s="58"/>
      <c r="L9" s="57"/>
    </row>
    <row r="10" spans="1:12" ht="15.75" thickBot="1">
      <c r="A10" s="142">
        <v>2</v>
      </c>
      <c r="B10" s="143" t="s">
        <v>82</v>
      </c>
      <c r="C10" s="144">
        <v>10</v>
      </c>
      <c r="D10" s="144">
        <v>40</v>
      </c>
      <c r="E10" s="145">
        <f t="shared" si="0"/>
        <v>8</v>
      </c>
      <c r="I10" s="58"/>
      <c r="J10" s="58" t="s">
        <v>40</v>
      </c>
      <c r="K10" s="58" t="s">
        <v>41</v>
      </c>
      <c r="L10" s="57"/>
    </row>
    <row r="11" spans="1:12" ht="81">
      <c r="A11" s="142">
        <v>1</v>
      </c>
      <c r="B11" s="146" t="s">
        <v>89</v>
      </c>
      <c r="C11" s="144">
        <v>10</v>
      </c>
      <c r="D11" s="144">
        <v>20</v>
      </c>
      <c r="E11" s="145">
        <f t="shared" si="0"/>
        <v>8</v>
      </c>
      <c r="I11" s="120" t="s">
        <v>42</v>
      </c>
      <c r="J11" s="121">
        <f>C50+E56+'SAT 46 LB CO'!J9+'SAT 46 LB CO #2'!J9</f>
        <v>439480.66711931361</v>
      </c>
      <c r="K11" s="122">
        <f>J11*(1.05)*(1.05)</f>
        <v>484527.43549904326</v>
      </c>
      <c r="L11" s="57"/>
    </row>
    <row r="12" spans="1:12" ht="40.5">
      <c r="A12" s="142">
        <v>60</v>
      </c>
      <c r="B12" s="146" t="s">
        <v>90</v>
      </c>
      <c r="C12" s="144">
        <v>10</v>
      </c>
      <c r="D12" s="144">
        <v>1200</v>
      </c>
      <c r="E12" s="145">
        <f t="shared" si="0"/>
        <v>8</v>
      </c>
      <c r="I12" s="123" t="s">
        <v>43</v>
      </c>
      <c r="J12" s="60">
        <f>C51+E57+'SAT 46 LB CO'!J10+'SAT 46 LB CO'!R21+'SAT 46 LB CO #2'!J10</f>
        <v>109690.61173147288</v>
      </c>
      <c r="K12" s="124">
        <f>J12*(1.05)*(1.05)</f>
        <v>120933.89943394886</v>
      </c>
      <c r="L12" s="57"/>
    </row>
    <row r="13" spans="1:12" ht="40.5">
      <c r="A13" s="142">
        <v>20</v>
      </c>
      <c r="B13" s="146" t="s">
        <v>91</v>
      </c>
      <c r="C13" s="144">
        <v>20</v>
      </c>
      <c r="D13" s="144">
        <v>800</v>
      </c>
      <c r="E13" s="145">
        <f t="shared" si="0"/>
        <v>8</v>
      </c>
      <c r="I13" s="178" t="s">
        <v>206</v>
      </c>
      <c r="J13" s="60">
        <f>C52+E58+'SAT 46 LB CO'!J11+'SAT 46 LB CO'!R22+'SAT 46 LB CO #2'!J11</f>
        <v>50181.186149213485</v>
      </c>
      <c r="K13" s="124">
        <f>J13*(1.05)*(1.05)</f>
        <v>55324.757729507866</v>
      </c>
    </row>
    <row r="14" spans="1:12">
      <c r="A14" s="142">
        <v>8</v>
      </c>
      <c r="B14" s="143" t="s">
        <v>83</v>
      </c>
      <c r="C14" s="144">
        <v>20</v>
      </c>
      <c r="D14" s="144">
        <v>320</v>
      </c>
      <c r="E14" s="145">
        <f t="shared" si="0"/>
        <v>8</v>
      </c>
      <c r="I14" s="178" t="s">
        <v>212</v>
      </c>
      <c r="J14" s="60">
        <f>0</f>
        <v>0</v>
      </c>
      <c r="K14" s="124">
        <f>220400</f>
        <v>220400</v>
      </c>
    </row>
    <row r="15" spans="1:12" ht="27.75" thickBot="1">
      <c r="A15" s="142">
        <v>10</v>
      </c>
      <c r="B15" s="146" t="s">
        <v>92</v>
      </c>
      <c r="C15" s="144">
        <v>20</v>
      </c>
      <c r="D15" s="144">
        <v>400</v>
      </c>
      <c r="E15" s="145">
        <f t="shared" si="0"/>
        <v>8</v>
      </c>
      <c r="I15" s="125" t="s">
        <v>8</v>
      </c>
      <c r="J15" s="168">
        <f>SUM(J11:J14)</f>
        <v>599352.46499999997</v>
      </c>
      <c r="K15" s="169">
        <f>SUM(K11:K14)</f>
        <v>881186.09266249998</v>
      </c>
    </row>
    <row r="16" spans="1:12" ht="40.5">
      <c r="A16" s="142">
        <v>6</v>
      </c>
      <c r="B16" s="159" t="s">
        <v>93</v>
      </c>
      <c r="C16" s="144">
        <v>0</v>
      </c>
      <c r="D16" s="144">
        <v>0</v>
      </c>
      <c r="E16" s="145"/>
      <c r="I16" s="58"/>
      <c r="J16" s="58"/>
      <c r="K16" s="58"/>
    </row>
    <row r="17" spans="1:11" ht="40.5">
      <c r="A17" s="142">
        <v>4</v>
      </c>
      <c r="B17" s="159" t="s">
        <v>194</v>
      </c>
      <c r="C17" s="144">
        <v>375</v>
      </c>
      <c r="D17" s="144">
        <v>15000</v>
      </c>
      <c r="E17" s="145"/>
      <c r="I17" s="58" t="s">
        <v>411</v>
      </c>
      <c r="J17" s="60">
        <f>J12/K7</f>
        <v>9140.884310956073</v>
      </c>
      <c r="K17" s="60"/>
    </row>
    <row r="18" spans="1:11">
      <c r="A18" s="142">
        <v>1</v>
      </c>
      <c r="B18" s="159" t="s">
        <v>71</v>
      </c>
      <c r="C18" s="144">
        <v>5800</v>
      </c>
      <c r="D18" s="144">
        <v>5800</v>
      </c>
      <c r="E18" s="145"/>
      <c r="I18" s="58" t="s">
        <v>414</v>
      </c>
      <c r="J18" s="60">
        <f>J17/SUM(J6,J4)</f>
        <v>149.85056247468972</v>
      </c>
      <c r="K18" s="60"/>
    </row>
    <row r="19" spans="1:11">
      <c r="A19" s="142">
        <v>1</v>
      </c>
      <c r="B19" s="159" t="s">
        <v>72</v>
      </c>
      <c r="C19" s="144">
        <v>5800</v>
      </c>
      <c r="D19" s="144">
        <v>5800</v>
      </c>
      <c r="E19" s="145"/>
      <c r="I19" s="58" t="s">
        <v>417</v>
      </c>
      <c r="J19" s="60">
        <f>C52/J6/2</f>
        <v>221.66666666666666</v>
      </c>
      <c r="K19" s="60"/>
    </row>
    <row r="20" spans="1:11">
      <c r="A20" s="142"/>
      <c r="B20" s="159"/>
      <c r="C20" s="144"/>
      <c r="D20" s="144"/>
      <c r="E20" s="145"/>
      <c r="I20" s="58" t="s">
        <v>418</v>
      </c>
      <c r="J20" s="60">
        <f>C58</f>
        <v>2500</v>
      </c>
      <c r="K20" s="60"/>
    </row>
    <row r="21" spans="1:11" ht="15.75" thickBot="1">
      <c r="A21" s="147"/>
      <c r="B21" s="148" t="s">
        <v>184</v>
      </c>
      <c r="C21" s="149"/>
      <c r="D21" s="149">
        <f>SUM(D4:D19)</f>
        <v>268200</v>
      </c>
      <c r="E21" s="150"/>
      <c r="I21" s="58"/>
      <c r="J21" s="60"/>
      <c r="K21" s="60"/>
    </row>
    <row r="22" spans="1:11">
      <c r="A22" s="130"/>
      <c r="B22" s="132"/>
      <c r="C22" s="131"/>
      <c r="D22" s="131"/>
      <c r="E22" s="130"/>
      <c r="I22" s="58"/>
      <c r="J22" s="60"/>
      <c r="K22" s="60"/>
    </row>
    <row r="23" spans="1:11">
      <c r="A23" s="130"/>
      <c r="B23" s="132"/>
      <c r="C23" s="131"/>
      <c r="D23" s="131"/>
      <c r="E23" s="130"/>
      <c r="I23" s="58"/>
      <c r="J23" s="60"/>
      <c r="K23" s="60"/>
    </row>
    <row r="24" spans="1:11">
      <c r="A24" s="130"/>
      <c r="B24" s="132"/>
      <c r="C24" s="131"/>
      <c r="D24" s="131"/>
      <c r="E24" s="130"/>
      <c r="I24" s="58"/>
      <c r="J24" s="60"/>
      <c r="K24" s="60"/>
    </row>
    <row r="25" spans="1:11">
      <c r="A25" s="130"/>
      <c r="B25" s="132"/>
      <c r="C25" s="131"/>
      <c r="D25" s="131"/>
      <c r="E25" s="130"/>
      <c r="I25" s="58"/>
      <c r="J25" s="60"/>
      <c r="K25" s="60"/>
    </row>
    <row r="26" spans="1:11" ht="15.75" thickBot="1">
      <c r="A26" s="130" t="s">
        <v>192</v>
      </c>
      <c r="B26" s="132"/>
      <c r="C26" s="131"/>
      <c r="D26" s="131"/>
      <c r="E26" s="130"/>
      <c r="I26" s="58"/>
      <c r="J26" s="60"/>
      <c r="K26" s="60"/>
    </row>
    <row r="27" spans="1:11">
      <c r="A27" s="138" t="s">
        <v>14</v>
      </c>
      <c r="B27" s="151" t="s">
        <v>32</v>
      </c>
      <c r="C27" s="140" t="s">
        <v>185</v>
      </c>
      <c r="D27" s="140" t="s">
        <v>84</v>
      </c>
      <c r="E27" s="141"/>
      <c r="I27" s="58"/>
      <c r="J27" s="60"/>
      <c r="K27" s="60"/>
    </row>
    <row r="28" spans="1:11">
      <c r="A28" s="142">
        <v>1</v>
      </c>
      <c r="B28" s="159" t="s">
        <v>94</v>
      </c>
      <c r="C28" s="144">
        <v>11800</v>
      </c>
      <c r="D28" s="144">
        <v>23600</v>
      </c>
      <c r="E28" s="145">
        <f>(D28/A28/C28)*4</f>
        <v>8</v>
      </c>
      <c r="G28" s="96"/>
      <c r="I28" s="58"/>
      <c r="J28" s="60"/>
      <c r="K28" s="60"/>
    </row>
    <row r="29" spans="1:11">
      <c r="A29" s="142">
        <v>58</v>
      </c>
      <c r="B29" s="143" t="s">
        <v>87</v>
      </c>
      <c r="C29" s="144">
        <v>55</v>
      </c>
      <c r="D29" s="144">
        <v>6380</v>
      </c>
      <c r="E29" s="145">
        <f t="shared" si="0"/>
        <v>8</v>
      </c>
      <c r="G29" s="96"/>
      <c r="I29" s="58"/>
      <c r="J29" s="60"/>
      <c r="K29" s="60"/>
    </row>
    <row r="30" spans="1:11">
      <c r="A30" s="142">
        <v>1</v>
      </c>
      <c r="B30" s="143" t="s">
        <v>95</v>
      </c>
      <c r="C30" s="144">
        <v>900</v>
      </c>
      <c r="D30" s="144">
        <v>1800</v>
      </c>
      <c r="E30" s="145">
        <f t="shared" si="0"/>
        <v>8</v>
      </c>
      <c r="G30" s="96"/>
      <c r="I30" s="58"/>
      <c r="J30" s="60"/>
      <c r="K30" s="60"/>
    </row>
    <row r="31" spans="1:11">
      <c r="A31" s="142">
        <v>1</v>
      </c>
      <c r="B31" s="143" t="s">
        <v>96</v>
      </c>
      <c r="C31" s="144"/>
      <c r="D31" s="144">
        <v>180</v>
      </c>
      <c r="E31" s="145"/>
    </row>
    <row r="32" spans="1:11">
      <c r="A32" s="142">
        <v>1</v>
      </c>
      <c r="B32" s="143" t="s">
        <v>71</v>
      </c>
      <c r="C32" s="144"/>
      <c r="D32" s="144">
        <v>1250</v>
      </c>
      <c r="E32" s="145"/>
    </row>
    <row r="33" spans="1:11">
      <c r="A33" s="142">
        <v>1</v>
      </c>
      <c r="B33" s="143" t="s">
        <v>72</v>
      </c>
      <c r="C33" s="144"/>
      <c r="D33" s="144">
        <v>1250</v>
      </c>
      <c r="E33" s="145"/>
    </row>
    <row r="34" spans="1:11">
      <c r="A34" s="142"/>
      <c r="B34" s="143" t="s">
        <v>116</v>
      </c>
      <c r="C34" s="144"/>
      <c r="D34" s="144">
        <f>SUM(D28:D33)</f>
        <v>34460</v>
      </c>
      <c r="E34" s="145"/>
      <c r="F34" s="96"/>
    </row>
    <row r="35" spans="1:11">
      <c r="A35" s="152"/>
      <c r="B35" s="143" t="s">
        <v>182</v>
      </c>
      <c r="C35" s="153"/>
      <c r="D35" s="144">
        <v>2679.61</v>
      </c>
      <c r="E35" s="154"/>
      <c r="F35" s="96"/>
    </row>
    <row r="36" spans="1:11" ht="15.75" thickBot="1">
      <c r="A36" s="155"/>
      <c r="B36" s="156" t="s">
        <v>183</v>
      </c>
      <c r="C36" s="157"/>
      <c r="D36" s="149">
        <f>SUM(D34:D35)</f>
        <v>37139.61</v>
      </c>
      <c r="E36" s="158"/>
      <c r="F36" s="96"/>
    </row>
    <row r="42" spans="1:11" ht="15.75" thickBot="1">
      <c r="A42" t="s">
        <v>204</v>
      </c>
    </row>
    <row r="43" spans="1:11">
      <c r="A43" s="160" t="s">
        <v>187</v>
      </c>
      <c r="B43" s="161" t="s">
        <v>14</v>
      </c>
      <c r="C43" s="162" t="s">
        <v>188</v>
      </c>
      <c r="D43" s="162" t="s">
        <v>189</v>
      </c>
      <c r="E43" s="161" t="s">
        <v>190</v>
      </c>
      <c r="F43" s="163" t="s">
        <v>195</v>
      </c>
    </row>
    <row r="44" spans="1:11" ht="30">
      <c r="A44" s="170" t="s">
        <v>202</v>
      </c>
      <c r="B44" s="164">
        <v>1</v>
      </c>
      <c r="C44" s="153">
        <v>268200</v>
      </c>
      <c r="D44" s="153" t="s">
        <v>191</v>
      </c>
      <c r="E44" s="165">
        <f>C44*B44</f>
        <v>268200</v>
      </c>
      <c r="F44" s="166">
        <f>D21</f>
        <v>268200</v>
      </c>
    </row>
    <row r="45" spans="1:11" s="175" customFormat="1" ht="30">
      <c r="A45" s="170" t="s">
        <v>197</v>
      </c>
      <c r="B45" s="171">
        <v>-1</v>
      </c>
      <c r="C45" s="172">
        <v>18390</v>
      </c>
      <c r="D45" s="172" t="s">
        <v>191</v>
      </c>
      <c r="E45" s="173">
        <f>C45*B45</f>
        <v>-18390</v>
      </c>
      <c r="F45" s="174">
        <f>-(D36/2)-SUM(D32:D33)</f>
        <v>-21069.805</v>
      </c>
      <c r="I45"/>
      <c r="J45"/>
      <c r="K45"/>
    </row>
    <row r="46" spans="1:11" ht="15.75" thickBot="1">
      <c r="A46" s="155"/>
      <c r="B46" s="167"/>
      <c r="C46" s="157"/>
      <c r="D46" s="157" t="s">
        <v>193</v>
      </c>
      <c r="E46" s="168">
        <f>SUM(E44:E45)</f>
        <v>249810</v>
      </c>
      <c r="F46" s="169">
        <f>SUM(F44:F45)</f>
        <v>247130.19500000001</v>
      </c>
    </row>
    <row r="47" spans="1:11">
      <c r="I47" s="175"/>
      <c r="J47" s="175"/>
      <c r="K47" s="175"/>
    </row>
    <row r="48" spans="1:11" ht="15.75" thickBot="1">
      <c r="A48" t="s">
        <v>196</v>
      </c>
    </row>
    <row r="49" spans="1:5">
      <c r="A49" s="160" t="s">
        <v>187</v>
      </c>
      <c r="B49" s="162"/>
      <c r="C49" s="163" t="s">
        <v>205</v>
      </c>
      <c r="D49" s="177"/>
    </row>
    <row r="50" spans="1:5">
      <c r="A50" s="152" t="s">
        <v>198</v>
      </c>
      <c r="B50" s="176">
        <v>8</v>
      </c>
      <c r="C50" s="166">
        <f>D4</f>
        <v>216000</v>
      </c>
      <c r="D50" s="165"/>
    </row>
    <row r="51" spans="1:5">
      <c r="A51" s="152" t="s">
        <v>199</v>
      </c>
      <c r="B51" s="153"/>
      <c r="C51" s="166">
        <f>SUM(D5:D16)</f>
        <v>25600</v>
      </c>
      <c r="D51" s="165"/>
    </row>
    <row r="52" spans="1:5">
      <c r="A52" s="152" t="s">
        <v>201</v>
      </c>
      <c r="B52" s="153"/>
      <c r="C52" s="166">
        <f>D21-SUM(C50:C51)</f>
        <v>26600</v>
      </c>
      <c r="D52" s="165"/>
    </row>
    <row r="53" spans="1:5">
      <c r="A53" s="152"/>
      <c r="B53" s="153" t="s">
        <v>116</v>
      </c>
      <c r="C53" s="166">
        <f>SUM(C50:C52)</f>
        <v>268200</v>
      </c>
      <c r="D53" s="165"/>
    </row>
    <row r="54" spans="1:5">
      <c r="A54" s="152"/>
      <c r="B54" s="153" t="s">
        <v>203</v>
      </c>
      <c r="C54" s="166">
        <f>E44-C53</f>
        <v>0</v>
      </c>
      <c r="D54" s="165"/>
    </row>
    <row r="55" spans="1:5">
      <c r="A55" s="152"/>
      <c r="B55" s="153"/>
      <c r="C55" s="166" t="s">
        <v>432</v>
      </c>
      <c r="D55" s="165" t="s">
        <v>389</v>
      </c>
      <c r="E55" t="s">
        <v>8</v>
      </c>
    </row>
    <row r="56" spans="1:5">
      <c r="A56" s="152" t="s">
        <v>186</v>
      </c>
      <c r="B56" s="153"/>
      <c r="C56" s="166">
        <f>D28/2</f>
        <v>11800</v>
      </c>
      <c r="D56" s="165">
        <f>(($D$35+$D$31)/2)*(C56/SUM($C$56:$C$58))</f>
        <v>917.43877107123433</v>
      </c>
      <c r="E56" s="96">
        <f>D56+C56</f>
        <v>12717.438771071234</v>
      </c>
    </row>
    <row r="57" spans="1:5">
      <c r="A57" s="152" t="s">
        <v>200</v>
      </c>
      <c r="B57" s="153"/>
      <c r="C57" s="166">
        <f>SUM(D29:D30)/2</f>
        <v>4090</v>
      </c>
      <c r="D57" s="165">
        <f t="shared" ref="D57:D58" si="1">(($D$35+$D$31)/2)*(C57/SUM($C$56:$C$58))</f>
        <v>317.99360793909733</v>
      </c>
      <c r="E57" s="96">
        <f t="shared" ref="E57:E58" si="2">D57+C57</f>
        <v>4407.9936079390973</v>
      </c>
    </row>
    <row r="58" spans="1:5">
      <c r="A58" s="152" t="s">
        <v>201</v>
      </c>
      <c r="B58" s="153"/>
      <c r="C58" s="166">
        <f>SUM(D32:D33)</f>
        <v>2500</v>
      </c>
      <c r="D58" s="165">
        <f t="shared" si="1"/>
        <v>194.37262098966832</v>
      </c>
      <c r="E58" s="96">
        <f t="shared" si="2"/>
        <v>2694.3726209896681</v>
      </c>
    </row>
    <row r="59" spans="1:5">
      <c r="A59" s="152"/>
      <c r="B59" s="153"/>
      <c r="C59" s="166"/>
      <c r="D59" s="165"/>
    </row>
    <row r="60" spans="1:5">
      <c r="A60" s="152"/>
      <c r="B60" s="153" t="s">
        <v>116</v>
      </c>
      <c r="C60" s="166">
        <f>SUM(C56:C59)</f>
        <v>18390</v>
      </c>
      <c r="D60" s="166">
        <f t="shared" ref="D60:E60" si="3">SUM(D56:D59)</f>
        <v>1429.8050000000001</v>
      </c>
      <c r="E60" s="166">
        <f t="shared" si="3"/>
        <v>19819.804999999997</v>
      </c>
    </row>
    <row r="61" spans="1:5" ht="15.75" thickBot="1">
      <c r="A61" s="155"/>
      <c r="B61" s="157" t="s">
        <v>203</v>
      </c>
      <c r="C61" s="169">
        <f>C60+E45</f>
        <v>0</v>
      </c>
      <c r="D61" s="165"/>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2923F-C7B8-40D9-A4C8-B933E25DA92B}">
  <sheetPr codeName="Sheet26"/>
  <dimension ref="A1:S35"/>
  <sheetViews>
    <sheetView topLeftCell="A4" workbookViewId="0">
      <selection activeCell="D35" sqref="D35"/>
    </sheetView>
  </sheetViews>
  <sheetFormatPr defaultRowHeight="15"/>
  <cols>
    <col min="2" max="2" width="11.28515625" bestFit="1" customWidth="1"/>
    <col min="3" max="3" width="16.28515625" bestFit="1" customWidth="1"/>
    <col min="4" max="4" width="14.28515625" bestFit="1" customWidth="1"/>
    <col min="7" max="7" width="17.42578125" bestFit="1" customWidth="1"/>
    <col min="8" max="8" width="13.42578125" bestFit="1" customWidth="1"/>
    <col min="9" max="9" width="13.7109375" bestFit="1" customWidth="1"/>
    <col min="10" max="10" width="12.5703125" bestFit="1" customWidth="1"/>
    <col min="15" max="15" width="24.140625" customWidth="1"/>
    <col min="16" max="16" width="11.5703125" bestFit="1" customWidth="1"/>
    <col min="17" max="17" width="10.5703125" bestFit="1" customWidth="1"/>
    <col min="18" max="18" width="13.28515625" bestFit="1" customWidth="1"/>
    <col min="19" max="19" width="11.5703125" bestFit="1" customWidth="1"/>
  </cols>
  <sheetData>
    <row r="1" spans="1:19">
      <c r="A1" t="s">
        <v>604</v>
      </c>
      <c r="B1" t="s">
        <v>605</v>
      </c>
      <c r="C1" t="s">
        <v>14</v>
      </c>
      <c r="D1" t="s">
        <v>606</v>
      </c>
    </row>
    <row r="2" spans="1:19" ht="15.75">
      <c r="A2" t="s">
        <v>607</v>
      </c>
      <c r="B2" s="66">
        <v>1650</v>
      </c>
      <c r="C2">
        <v>30</v>
      </c>
      <c r="D2" s="66">
        <f>B2*C2</f>
        <v>49500</v>
      </c>
      <c r="E2" s="398"/>
      <c r="F2" s="398"/>
      <c r="G2" s="398"/>
      <c r="H2" s="398"/>
      <c r="I2" s="398"/>
      <c r="J2" s="398"/>
      <c r="K2" s="398"/>
      <c r="L2" s="398"/>
      <c r="M2" s="398"/>
      <c r="O2" t="s">
        <v>620</v>
      </c>
    </row>
    <row r="3" spans="1:19">
      <c r="A3" t="s">
        <v>608</v>
      </c>
      <c r="B3" s="66">
        <v>1650</v>
      </c>
      <c r="C3">
        <v>29</v>
      </c>
      <c r="D3" s="66">
        <f>B3*C3</f>
        <v>47850</v>
      </c>
      <c r="E3" s="399"/>
      <c r="F3" s="400"/>
      <c r="G3" s="400" t="s">
        <v>614</v>
      </c>
      <c r="H3" s="413">
        <v>4</v>
      </c>
      <c r="I3" s="400"/>
      <c r="J3" s="400"/>
      <c r="K3" s="400"/>
      <c r="L3" s="400"/>
      <c r="M3" s="400"/>
    </row>
    <row r="4" spans="1:19">
      <c r="C4" s="401" t="s">
        <v>609</v>
      </c>
      <c r="D4" s="66">
        <f>SUM(D2:D3)</f>
        <v>97350</v>
      </c>
      <c r="E4" s="399"/>
      <c r="F4" s="401"/>
      <c r="G4" s="402"/>
      <c r="H4" s="66"/>
      <c r="I4" s="401"/>
      <c r="J4" s="403"/>
      <c r="K4" s="403"/>
      <c r="L4" s="403"/>
      <c r="M4" s="403"/>
    </row>
    <row r="5" spans="1:19">
      <c r="C5" s="404"/>
      <c r="D5" s="66"/>
      <c r="E5" s="399"/>
      <c r="F5" s="404"/>
      <c r="G5" s="404"/>
      <c r="H5" s="66"/>
      <c r="I5" s="404"/>
      <c r="J5" s="404"/>
      <c r="K5" s="404"/>
      <c r="L5" s="404"/>
      <c r="M5" s="404"/>
      <c r="O5" t="s">
        <v>18</v>
      </c>
      <c r="P5" t="s">
        <v>623</v>
      </c>
      <c r="Q5" t="s">
        <v>621</v>
      </c>
      <c r="R5" t="s">
        <v>624</v>
      </c>
      <c r="S5" t="s">
        <v>105</v>
      </c>
    </row>
    <row r="6" spans="1:19">
      <c r="C6" s="404"/>
      <c r="D6" s="66"/>
      <c r="E6" s="399"/>
      <c r="F6" s="404"/>
      <c r="H6" s="66"/>
      <c r="I6" s="405"/>
      <c r="J6" s="405"/>
      <c r="K6" s="406"/>
      <c r="L6" s="407"/>
      <c r="M6" s="404"/>
      <c r="O6" t="s">
        <v>622</v>
      </c>
      <c r="P6" s="66">
        <v>215</v>
      </c>
      <c r="Q6">
        <v>60</v>
      </c>
      <c r="R6">
        <v>2</v>
      </c>
      <c r="S6" s="66">
        <f>Q6*P6*R6</f>
        <v>25800</v>
      </c>
    </row>
    <row r="7" spans="1:19">
      <c r="C7" s="404"/>
      <c r="D7" s="66"/>
      <c r="E7" s="399"/>
      <c r="F7" s="404"/>
      <c r="H7" s="66"/>
      <c r="I7" s="408"/>
      <c r="J7" s="408"/>
      <c r="K7" s="409"/>
      <c r="L7" s="410"/>
      <c r="M7" s="404"/>
      <c r="O7" t="s">
        <v>68</v>
      </c>
      <c r="P7" s="66">
        <v>20</v>
      </c>
      <c r="Q7">
        <v>400</v>
      </c>
      <c r="R7">
        <v>2</v>
      </c>
      <c r="S7" s="66">
        <f>Q7*P7*R7</f>
        <v>16000</v>
      </c>
    </row>
    <row r="8" spans="1:19">
      <c r="A8" t="s">
        <v>7</v>
      </c>
      <c r="C8" s="404" t="s">
        <v>18</v>
      </c>
      <c r="D8" s="66"/>
      <c r="E8" s="399"/>
      <c r="F8" s="404"/>
      <c r="H8" s="66" t="s">
        <v>617</v>
      </c>
      <c r="I8" s="66" t="s">
        <v>430</v>
      </c>
      <c r="J8" s="66" t="s">
        <v>8</v>
      </c>
      <c r="K8" s="409"/>
      <c r="L8" s="410"/>
      <c r="M8" s="404"/>
    </row>
    <row r="9" spans="1:19">
      <c r="C9" s="404" t="s">
        <v>629</v>
      </c>
      <c r="D9" s="66">
        <v>7200</v>
      </c>
      <c r="E9" s="399"/>
      <c r="F9" s="404"/>
      <c r="G9" t="s">
        <v>548</v>
      </c>
      <c r="H9" s="96">
        <f>D4</f>
        <v>97350</v>
      </c>
      <c r="I9" s="96">
        <f>$D$31*H9/SUM($H$9:$H$11)</f>
        <v>8031.6141741212041</v>
      </c>
      <c r="J9" s="96">
        <f>SUM(H9:I9)</f>
        <v>105381.6141741212</v>
      </c>
      <c r="L9" s="407"/>
      <c r="M9" s="404"/>
      <c r="R9" t="s">
        <v>625</v>
      </c>
      <c r="S9" s="66">
        <v>5130</v>
      </c>
    </row>
    <row r="10" spans="1:19">
      <c r="C10" s="404"/>
      <c r="D10" s="66">
        <v>1200</v>
      </c>
      <c r="E10" s="399"/>
      <c r="F10" s="404"/>
      <c r="G10" t="s">
        <v>615</v>
      </c>
      <c r="H10" s="96">
        <f>D21</f>
        <v>10105</v>
      </c>
      <c r="I10" s="96">
        <f t="shared" ref="I10:I11" si="0">$D$31*H10/SUM($H$9:$H$11)</f>
        <v>833.68732644576039</v>
      </c>
      <c r="J10" s="96">
        <f t="shared" ref="J10:J11" si="1">SUM(H10:I10)</f>
        <v>10938.687326445761</v>
      </c>
      <c r="L10" s="407"/>
      <c r="M10" s="404"/>
      <c r="R10" t="s">
        <v>626</v>
      </c>
      <c r="S10" s="66">
        <v>2565</v>
      </c>
    </row>
    <row r="11" spans="1:19">
      <c r="C11" s="404"/>
      <c r="D11" s="66">
        <v>200</v>
      </c>
      <c r="E11" s="399"/>
      <c r="F11" s="404"/>
      <c r="G11" t="s">
        <v>616</v>
      </c>
      <c r="H11" s="96">
        <f>SUM(D27:D28)</f>
        <v>11600</v>
      </c>
      <c r="I11" s="96">
        <f t="shared" si="0"/>
        <v>957.02849943303511</v>
      </c>
      <c r="J11" s="96">
        <f t="shared" si="1"/>
        <v>12557.028499433036</v>
      </c>
      <c r="L11" s="407"/>
      <c r="M11" s="404"/>
    </row>
    <row r="12" spans="1:19">
      <c r="C12" s="404"/>
      <c r="D12" s="66">
        <v>99</v>
      </c>
      <c r="E12" s="399"/>
      <c r="F12" s="404"/>
      <c r="G12" s="408"/>
      <c r="H12" s="408"/>
      <c r="I12" s="408"/>
      <c r="J12" s="408"/>
      <c r="K12" s="411"/>
      <c r="L12" s="412"/>
      <c r="M12" s="404"/>
      <c r="R12" t="s">
        <v>627</v>
      </c>
      <c r="S12" s="96">
        <f>SUM(S6:S10)</f>
        <v>49495</v>
      </c>
    </row>
    <row r="13" spans="1:19">
      <c r="C13" s="401"/>
      <c r="D13" s="66">
        <v>10</v>
      </c>
      <c r="E13" s="401"/>
      <c r="F13" s="401"/>
      <c r="G13" s="408"/>
      <c r="H13" s="408"/>
      <c r="I13" s="408"/>
      <c r="J13" s="408"/>
      <c r="K13" s="411"/>
      <c r="L13" s="412"/>
      <c r="M13" s="401"/>
      <c r="R13" t="s">
        <v>182</v>
      </c>
      <c r="S13" s="66">
        <v>4083</v>
      </c>
    </row>
    <row r="14" spans="1:19">
      <c r="D14" s="66">
        <v>20</v>
      </c>
      <c r="R14" t="s">
        <v>609</v>
      </c>
      <c r="S14" s="96">
        <v>53578</v>
      </c>
    </row>
    <row r="15" spans="1:19">
      <c r="D15" s="66">
        <v>10</v>
      </c>
    </row>
    <row r="16" spans="1:19">
      <c r="D16" s="66">
        <v>600</v>
      </c>
    </row>
    <row r="17" spans="1:18">
      <c r="D17" s="66">
        <v>400</v>
      </c>
    </row>
    <row r="18" spans="1:18">
      <c r="D18" s="66">
        <v>160</v>
      </c>
    </row>
    <row r="19" spans="1:18">
      <c r="D19" s="66">
        <v>200</v>
      </c>
    </row>
    <row r="20" spans="1:18">
      <c r="C20" t="s">
        <v>610</v>
      </c>
      <c r="D20" s="66">
        <v>6</v>
      </c>
      <c r="P20" s="66" t="s">
        <v>617</v>
      </c>
      <c r="Q20" s="66" t="s">
        <v>430</v>
      </c>
      <c r="R20" s="66" t="s">
        <v>8</v>
      </c>
    </row>
    <row r="21" spans="1:18">
      <c r="C21" t="s">
        <v>611</v>
      </c>
      <c r="D21" s="66">
        <f>SUM(D9:D20)</f>
        <v>10105</v>
      </c>
      <c r="O21" t="s">
        <v>615</v>
      </c>
      <c r="P21" s="96">
        <f>SUM(S6:S7)</f>
        <v>41800</v>
      </c>
      <c r="Q21" s="96">
        <f>$S$13*P21/SUM($P$21:$P$22)</f>
        <v>3448.2149712092132</v>
      </c>
      <c r="R21" s="96">
        <f>SUM(P21:Q21)</f>
        <v>45248.214971209214</v>
      </c>
    </row>
    <row r="22" spans="1:18">
      <c r="O22" t="s">
        <v>616</v>
      </c>
      <c r="P22" s="96">
        <f>SUM(S9:S10)</f>
        <v>7695</v>
      </c>
      <c r="Q22" s="96">
        <f>$S$13*P22/SUM($P$21:$P$22)</f>
        <v>634.7850287907869</v>
      </c>
      <c r="R22" s="96">
        <f t="shared" ref="R22" si="2">SUM(P22:Q22)</f>
        <v>8329.7850287907877</v>
      </c>
    </row>
    <row r="23" spans="1:18">
      <c r="C23" t="s">
        <v>612</v>
      </c>
      <c r="D23" s="96">
        <f>D21+D4</f>
        <v>107455</v>
      </c>
    </row>
    <row r="24" spans="1:18">
      <c r="D24" s="96"/>
    </row>
    <row r="25" spans="1:18">
      <c r="D25" s="96"/>
    </row>
    <row r="27" spans="1:18">
      <c r="A27" t="s">
        <v>71</v>
      </c>
      <c r="D27" s="66">
        <v>5800</v>
      </c>
    </row>
    <row r="28" spans="1:18">
      <c r="A28" t="s">
        <v>613</v>
      </c>
      <c r="D28" s="66">
        <v>5800</v>
      </c>
    </row>
    <row r="30" spans="1:18">
      <c r="C30" t="s">
        <v>612</v>
      </c>
      <c r="D30" s="96">
        <f>SUM(D27:D28,D23)</f>
        <v>119055</v>
      </c>
    </row>
    <row r="31" spans="1:18">
      <c r="C31" t="s">
        <v>182</v>
      </c>
      <c r="D31" s="96">
        <v>9822.33</v>
      </c>
    </row>
    <row r="32" spans="1:18">
      <c r="C32" t="s">
        <v>8</v>
      </c>
      <c r="D32" s="96">
        <f>SUM(D30:D31)</f>
        <v>128877.33</v>
      </c>
    </row>
    <row r="34" spans="4:4">
      <c r="D34">
        <v>109000</v>
      </c>
    </row>
    <row r="35" spans="4:4">
      <c r="D35" s="66">
        <f>D32+D34</f>
        <v>237877.33000000002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544EF-21FD-4AE6-A0D2-7D08CAC16C76}">
  <sheetPr codeName="Sheet8"/>
  <dimension ref="A1:O17"/>
  <sheetViews>
    <sheetView topLeftCell="B1" workbookViewId="0">
      <selection activeCell="B22" sqref="B22:D22"/>
    </sheetView>
  </sheetViews>
  <sheetFormatPr defaultColWidth="9.140625" defaultRowHeight="15"/>
  <cols>
    <col min="1" max="1" width="9.140625" style="57"/>
    <col min="2" max="2" width="10.5703125" style="57" bestFit="1" customWidth="1"/>
    <col min="3" max="3" width="31.140625" style="57" bestFit="1" customWidth="1"/>
    <col min="4" max="4" width="49.28515625" style="57" bestFit="1" customWidth="1"/>
    <col min="5" max="5" width="9.140625" style="57"/>
    <col min="6" max="6" width="9.28515625" style="57" bestFit="1" customWidth="1"/>
    <col min="7" max="8" width="10.5703125" style="57" bestFit="1" customWidth="1"/>
    <col min="9" max="11" width="9.140625" style="57"/>
    <col min="12" max="12" width="26.140625" style="57" bestFit="1" customWidth="1"/>
    <col min="13" max="13" width="14.140625" style="57" bestFit="1" customWidth="1"/>
    <col min="14" max="14" width="21.42578125" style="57" bestFit="1" customWidth="1"/>
    <col min="15" max="16384" width="9.140625" style="57"/>
  </cols>
  <sheetData>
    <row r="1" spans="1:15">
      <c r="A1" s="57" t="s">
        <v>14</v>
      </c>
      <c r="B1" s="57" t="s">
        <v>55</v>
      </c>
      <c r="C1" s="57" t="s">
        <v>32</v>
      </c>
      <c r="D1" s="57" t="s">
        <v>56</v>
      </c>
      <c r="E1" s="57" t="s">
        <v>33</v>
      </c>
      <c r="F1" s="57" t="s">
        <v>34</v>
      </c>
      <c r="G1" s="57" t="s">
        <v>35</v>
      </c>
      <c r="H1" s="57" t="s">
        <v>57</v>
      </c>
    </row>
    <row r="2" spans="1:15">
      <c r="A2" s="57">
        <v>1</v>
      </c>
      <c r="B2" s="57">
        <v>941010</v>
      </c>
      <c r="C2" s="57" t="s">
        <v>58</v>
      </c>
      <c r="D2" s="57" t="s">
        <v>59</v>
      </c>
      <c r="E2" s="57">
        <v>250</v>
      </c>
      <c r="F2" s="180">
        <v>500</v>
      </c>
      <c r="G2" s="180">
        <v>1000</v>
      </c>
      <c r="H2" s="180">
        <f t="shared" ref="H2:H5" si="0">G2*A2</f>
        <v>1000</v>
      </c>
      <c r="L2" s="63" t="s">
        <v>60</v>
      </c>
      <c r="M2" s="57">
        <f>COUNTIF(C2:C9,$C$2)</f>
        <v>2</v>
      </c>
      <c r="N2" s="63" t="s">
        <v>61</v>
      </c>
      <c r="O2" s="57">
        <v>4</v>
      </c>
    </row>
    <row r="3" spans="1:15">
      <c r="A3" s="57">
        <v>1</v>
      </c>
      <c r="B3" s="57">
        <v>880533</v>
      </c>
      <c r="C3" s="57" t="s">
        <v>58</v>
      </c>
      <c r="D3" s="57" t="s">
        <v>62</v>
      </c>
      <c r="E3" s="57">
        <v>250</v>
      </c>
      <c r="F3" s="180">
        <v>500</v>
      </c>
      <c r="G3" s="180">
        <v>1000</v>
      </c>
      <c r="H3" s="180">
        <f t="shared" si="0"/>
        <v>1000</v>
      </c>
      <c r="L3" s="63" t="s">
        <v>63</v>
      </c>
      <c r="M3" s="57">
        <f>COUNTIF(C2:C9,$C$4)</f>
        <v>2</v>
      </c>
    </row>
    <row r="4" spans="1:15">
      <c r="A4" s="57">
        <v>1</v>
      </c>
      <c r="B4" s="57">
        <v>10185428</v>
      </c>
      <c r="C4" s="57" t="s">
        <v>64</v>
      </c>
      <c r="D4" s="57" t="s">
        <v>65</v>
      </c>
      <c r="E4" s="57">
        <v>150</v>
      </c>
      <c r="F4" s="180">
        <v>375</v>
      </c>
      <c r="G4" s="180">
        <v>750</v>
      </c>
      <c r="H4" s="180">
        <f t="shared" si="0"/>
        <v>750</v>
      </c>
      <c r="L4" s="63" t="s">
        <v>66</v>
      </c>
      <c r="M4" s="57">
        <f>SUM(M2:M3)</f>
        <v>4</v>
      </c>
    </row>
    <row r="5" spans="1:15">
      <c r="A5" s="57">
        <v>1</v>
      </c>
      <c r="B5" s="57">
        <v>10185428</v>
      </c>
      <c r="C5" s="57" t="s">
        <v>64</v>
      </c>
      <c r="D5" s="57" t="s">
        <v>65</v>
      </c>
      <c r="E5" s="57">
        <v>150</v>
      </c>
      <c r="F5" s="180">
        <v>375</v>
      </c>
      <c r="G5" s="180">
        <v>750</v>
      </c>
      <c r="H5" s="180">
        <f t="shared" si="0"/>
        <v>750</v>
      </c>
    </row>
    <row r="6" spans="1:15">
      <c r="A6" s="57">
        <v>2</v>
      </c>
      <c r="C6" s="57" t="s">
        <v>67</v>
      </c>
      <c r="E6" s="57">
        <v>22</v>
      </c>
      <c r="F6" s="180">
        <v>60</v>
      </c>
      <c r="G6" s="180">
        <v>150</v>
      </c>
      <c r="H6" s="180">
        <f>G6*A6</f>
        <v>300</v>
      </c>
    </row>
    <row r="7" spans="1:15">
      <c r="A7" s="57">
        <v>16</v>
      </c>
      <c r="C7" s="57" t="s">
        <v>68</v>
      </c>
      <c r="E7" s="57">
        <v>10</v>
      </c>
      <c r="F7" s="180">
        <v>20</v>
      </c>
      <c r="G7" s="180">
        <v>40</v>
      </c>
      <c r="H7" s="180">
        <f>G7*A7</f>
        <v>640</v>
      </c>
    </row>
    <row r="8" spans="1:15">
      <c r="A8" s="57">
        <v>8</v>
      </c>
      <c r="C8" s="57" t="s">
        <v>68</v>
      </c>
      <c r="E8" s="57">
        <v>10</v>
      </c>
      <c r="F8" s="180">
        <v>20</v>
      </c>
      <c r="G8" s="180">
        <v>40</v>
      </c>
      <c r="H8" s="180">
        <f>G8*A8</f>
        <v>320</v>
      </c>
      <c r="L8" s="58"/>
      <c r="M8" s="58" t="s">
        <v>69</v>
      </c>
      <c r="N8" s="58"/>
    </row>
    <row r="9" spans="1:15">
      <c r="A9" s="57">
        <v>8</v>
      </c>
      <c r="C9" s="57" t="s">
        <v>70</v>
      </c>
      <c r="E9" s="57">
        <v>4</v>
      </c>
      <c r="F9" s="180">
        <v>8</v>
      </c>
      <c r="G9" s="180">
        <v>16</v>
      </c>
      <c r="H9" s="180">
        <f>G9*A9</f>
        <v>128</v>
      </c>
      <c r="L9" s="58" t="s">
        <v>42</v>
      </c>
      <c r="M9" s="60">
        <f>SUM(H2:H5)</f>
        <v>3500</v>
      </c>
      <c r="N9" s="60"/>
    </row>
    <row r="10" spans="1:15">
      <c r="A10" s="57">
        <v>1</v>
      </c>
      <c r="C10" s="63" t="s">
        <v>71</v>
      </c>
      <c r="F10" s="180"/>
      <c r="G10" s="180"/>
      <c r="H10" s="180">
        <v>220</v>
      </c>
      <c r="L10" s="58" t="s">
        <v>43</v>
      </c>
      <c r="M10" s="60">
        <f>SUM(H6:H9)</f>
        <v>1388</v>
      </c>
      <c r="N10" s="60"/>
    </row>
    <row r="11" spans="1:15">
      <c r="A11" s="57">
        <v>1</v>
      </c>
      <c r="C11" s="63" t="s">
        <v>72</v>
      </c>
      <c r="F11" s="180"/>
      <c r="G11" s="180"/>
      <c r="H11" s="180">
        <v>220</v>
      </c>
      <c r="L11" s="58" t="s">
        <v>73</v>
      </c>
      <c r="M11" s="60">
        <f>SUM(H10:H11)</f>
        <v>440</v>
      </c>
      <c r="N11" s="60"/>
    </row>
    <row r="12" spans="1:15">
      <c r="L12" s="58" t="s">
        <v>8</v>
      </c>
      <c r="M12" s="60">
        <f>SUM(M9:M11)</f>
        <v>5328</v>
      </c>
      <c r="N12" s="60"/>
    </row>
    <row r="16" spans="1:15">
      <c r="L16" s="57" t="s">
        <v>653</v>
      </c>
      <c r="M16" s="119">
        <f>M10/O2/M4</f>
        <v>86.75</v>
      </c>
    </row>
    <row r="17" spans="12:13">
      <c r="L17" s="57" t="s">
        <v>651</v>
      </c>
      <c r="M17" s="119">
        <f>M11/M4/2</f>
        <v>55</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43D68-F17C-41B4-BE03-99951F3360E0}">
  <sheetPr codeName="Sheet18"/>
  <dimension ref="A1:N16"/>
  <sheetViews>
    <sheetView topLeftCell="B1" workbookViewId="0">
      <selection activeCell="N12" sqref="N12"/>
    </sheetView>
  </sheetViews>
  <sheetFormatPr defaultRowHeight="15"/>
  <cols>
    <col min="2" max="2" width="72.7109375" bestFit="1" customWidth="1"/>
    <col min="3" max="3" width="9.28515625" bestFit="1" customWidth="1"/>
    <col min="4" max="5" width="10.5703125" bestFit="1" customWidth="1"/>
    <col min="6" max="6" width="13.140625" bestFit="1" customWidth="1"/>
    <col min="11" max="11" width="20" bestFit="1" customWidth="1"/>
    <col min="12" max="12" width="14.140625" bestFit="1" customWidth="1"/>
    <col min="13" max="13" width="15.28515625" bestFit="1" customWidth="1"/>
    <col min="14" max="14" width="10.85546875" customWidth="1"/>
  </cols>
  <sheetData>
    <row r="1" spans="1:14">
      <c r="A1" t="s">
        <v>14</v>
      </c>
      <c r="B1" t="s">
        <v>385</v>
      </c>
      <c r="C1" t="s">
        <v>34</v>
      </c>
      <c r="D1" t="s">
        <v>35</v>
      </c>
      <c r="E1" t="s">
        <v>57</v>
      </c>
      <c r="F1" t="s">
        <v>390</v>
      </c>
      <c r="G1" t="s">
        <v>391</v>
      </c>
    </row>
    <row r="2" spans="1:14">
      <c r="A2">
        <v>2</v>
      </c>
      <c r="B2" s="285" t="s">
        <v>386</v>
      </c>
      <c r="C2" s="66">
        <v>375</v>
      </c>
      <c r="D2" s="66">
        <v>1125</v>
      </c>
      <c r="E2" s="66">
        <v>1500</v>
      </c>
      <c r="F2" s="96">
        <f t="shared" ref="F2:F3" si="0">E2/A2</f>
        <v>750</v>
      </c>
      <c r="G2" s="286">
        <f t="shared" ref="G2:G3" si="1">F2/C2</f>
        <v>2</v>
      </c>
      <c r="K2" s="63" t="s">
        <v>60</v>
      </c>
      <c r="L2" s="57">
        <v>2</v>
      </c>
      <c r="M2" s="63" t="s">
        <v>61</v>
      </c>
      <c r="N2" s="57">
        <v>2</v>
      </c>
    </row>
    <row r="3" spans="1:14">
      <c r="A3">
        <v>2</v>
      </c>
      <c r="B3" t="s">
        <v>387</v>
      </c>
      <c r="C3" s="66">
        <v>500</v>
      </c>
      <c r="D3" s="66">
        <v>1500</v>
      </c>
      <c r="E3" s="66">
        <v>2000</v>
      </c>
      <c r="F3" s="96">
        <f t="shared" si="0"/>
        <v>1000</v>
      </c>
      <c r="G3" s="286">
        <f t="shared" si="1"/>
        <v>2</v>
      </c>
      <c r="K3" s="63" t="s">
        <v>63</v>
      </c>
      <c r="L3" s="57">
        <v>2</v>
      </c>
      <c r="M3" s="57"/>
      <c r="N3" s="57"/>
    </row>
    <row r="4" spans="1:14">
      <c r="A4">
        <v>2</v>
      </c>
      <c r="B4" t="s">
        <v>388</v>
      </c>
      <c r="C4" s="66">
        <v>60</v>
      </c>
      <c r="D4" s="66">
        <v>150</v>
      </c>
      <c r="E4" s="66">
        <v>240</v>
      </c>
      <c r="F4" s="96">
        <f>E4/A4</f>
        <v>120</v>
      </c>
      <c r="G4" s="286">
        <f>F4/C4</f>
        <v>2</v>
      </c>
      <c r="K4" s="63" t="s">
        <v>66</v>
      </c>
      <c r="L4" s="57">
        <f>SUM(L2:L3)</f>
        <v>4</v>
      </c>
      <c r="M4" s="57"/>
      <c r="N4" s="57"/>
    </row>
    <row r="5" spans="1:14">
      <c r="A5">
        <v>24</v>
      </c>
      <c r="B5" t="s">
        <v>68</v>
      </c>
      <c r="C5" s="66">
        <v>20</v>
      </c>
      <c r="D5" s="66">
        <v>50</v>
      </c>
      <c r="E5" s="66">
        <v>960</v>
      </c>
      <c r="F5" s="96">
        <f>E5/A5</f>
        <v>40</v>
      </c>
      <c r="G5" s="286">
        <f>F5/C5</f>
        <v>2</v>
      </c>
      <c r="K5" s="57"/>
      <c r="L5" s="57"/>
      <c r="M5" s="57"/>
      <c r="N5" s="57"/>
    </row>
    <row r="6" spans="1:14">
      <c r="B6" t="s">
        <v>71</v>
      </c>
      <c r="E6" s="66">
        <v>1078.5999999999999</v>
      </c>
      <c r="K6" s="57"/>
      <c r="L6" s="57"/>
      <c r="M6" s="57"/>
      <c r="N6" s="57"/>
    </row>
    <row r="7" spans="1:14">
      <c r="B7" t="s">
        <v>72</v>
      </c>
      <c r="E7" s="66">
        <v>1078.5999999999999</v>
      </c>
      <c r="K7" s="57"/>
      <c r="L7" s="57"/>
      <c r="M7" s="57"/>
      <c r="N7" s="57"/>
    </row>
    <row r="8" spans="1:14">
      <c r="K8" s="58"/>
      <c r="L8" s="58" t="s">
        <v>69</v>
      </c>
      <c r="M8" s="58" t="s">
        <v>430</v>
      </c>
      <c r="N8" s="57" t="s">
        <v>431</v>
      </c>
    </row>
    <row r="9" spans="1:14">
      <c r="D9" t="s">
        <v>116</v>
      </c>
      <c r="E9" s="96">
        <f>SUM(E2:E7)</f>
        <v>6857.2000000000007</v>
      </c>
      <c r="K9" s="58" t="s">
        <v>42</v>
      </c>
      <c r="L9" s="60">
        <f>SUM(E2:E3)</f>
        <v>3500</v>
      </c>
      <c r="M9" s="60">
        <f>$E$10*(L9/$L$12)</f>
        <v>288.74540628828095</v>
      </c>
      <c r="N9" s="119">
        <f>M9+L9</f>
        <v>3788.7454062882807</v>
      </c>
    </row>
    <row r="10" spans="1:14">
      <c r="D10" t="s">
        <v>389</v>
      </c>
      <c r="E10" s="96">
        <v>565.71</v>
      </c>
      <c r="K10" s="58" t="s">
        <v>43</v>
      </c>
      <c r="L10" s="60">
        <f>SUM(E4:E5)</f>
        <v>1200</v>
      </c>
      <c r="M10" s="60">
        <f t="shared" ref="M10:M11" si="2">$E$10*(L10/$L$12)</f>
        <v>98.998425013124901</v>
      </c>
      <c r="N10" s="119">
        <f t="shared" ref="N10:N11" si="3">M10+L10</f>
        <v>1298.9984250131249</v>
      </c>
    </row>
    <row r="11" spans="1:14">
      <c r="D11" t="s">
        <v>8</v>
      </c>
      <c r="E11" s="96">
        <f>SUM(E9:E10)</f>
        <v>7422.9100000000008</v>
      </c>
      <c r="K11" s="58" t="s">
        <v>73</v>
      </c>
      <c r="L11" s="60">
        <f>SUM(E6:E7)</f>
        <v>2157.1999999999998</v>
      </c>
      <c r="M11" s="60">
        <f t="shared" si="2"/>
        <v>177.96616869859417</v>
      </c>
      <c r="N11" s="119">
        <f t="shared" si="3"/>
        <v>2335.166168698594</v>
      </c>
    </row>
    <row r="12" spans="1:14">
      <c r="K12" s="58" t="s">
        <v>8</v>
      </c>
      <c r="L12" s="60">
        <f>SUM(L9:L11)</f>
        <v>6857.2</v>
      </c>
      <c r="M12" s="60">
        <f t="shared" ref="M12:N12" si="4">SUM(M9:M11)</f>
        <v>565.71</v>
      </c>
      <c r="N12" s="60">
        <f t="shared" si="4"/>
        <v>7422.91</v>
      </c>
    </row>
    <row r="15" spans="1:14">
      <c r="K15" s="58" t="s">
        <v>653</v>
      </c>
      <c r="L15" s="96">
        <f>N10/N2/L4</f>
        <v>162.37480312664061</v>
      </c>
    </row>
    <row r="16" spans="1:14">
      <c r="K16" t="s">
        <v>652</v>
      </c>
      <c r="L16" s="96">
        <f>N11/L4/2</f>
        <v>291.89577108732425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BBA23-61AF-4DE5-8238-03B0CD5E6095}">
  <sheetPr codeName="Sheet30"/>
  <dimension ref="A1:S36"/>
  <sheetViews>
    <sheetView workbookViewId="0">
      <selection activeCell="I28" sqref="I28"/>
    </sheetView>
  </sheetViews>
  <sheetFormatPr defaultRowHeight="15"/>
  <cols>
    <col min="2" max="2" width="11.28515625" bestFit="1" customWidth="1"/>
    <col min="3" max="3" width="16.28515625" bestFit="1" customWidth="1"/>
    <col min="4" max="4" width="14.28515625" bestFit="1" customWidth="1"/>
    <col min="7" max="7" width="17.42578125" bestFit="1" customWidth="1"/>
    <col min="8" max="8" width="13.42578125" bestFit="1" customWidth="1"/>
    <col min="9" max="9" width="13.7109375" bestFit="1" customWidth="1"/>
    <col min="10" max="10" width="12.5703125" bestFit="1" customWidth="1"/>
    <col min="15" max="15" width="24.140625" customWidth="1"/>
    <col min="16" max="16" width="11.5703125" bestFit="1" customWidth="1"/>
    <col min="17" max="17" width="10.5703125" bestFit="1" customWidth="1"/>
    <col min="18" max="18" width="13.28515625" bestFit="1" customWidth="1"/>
    <col min="19" max="19" width="11.5703125" bestFit="1" customWidth="1"/>
  </cols>
  <sheetData>
    <row r="1" spans="1:19">
      <c r="A1" t="s">
        <v>604</v>
      </c>
      <c r="B1" t="s">
        <v>605</v>
      </c>
      <c r="C1" t="s">
        <v>14</v>
      </c>
      <c r="D1" t="s">
        <v>606</v>
      </c>
    </row>
    <row r="2" spans="1:19" ht="15.75">
      <c r="A2" t="s">
        <v>607</v>
      </c>
      <c r="B2" s="66">
        <v>1650</v>
      </c>
      <c r="C2">
        <v>30</v>
      </c>
      <c r="D2" s="66">
        <f>B2*C2</f>
        <v>49500</v>
      </c>
      <c r="E2" s="398"/>
      <c r="F2" s="398"/>
      <c r="G2" s="398"/>
      <c r="H2" s="398"/>
      <c r="I2" s="398"/>
      <c r="J2" s="398"/>
      <c r="K2" s="398"/>
      <c r="L2" s="398"/>
      <c r="M2" s="398"/>
    </row>
    <row r="3" spans="1:19">
      <c r="A3" t="s">
        <v>608</v>
      </c>
      <c r="B3" s="66">
        <v>1650</v>
      </c>
      <c r="C3">
        <v>29</v>
      </c>
      <c r="D3" s="66">
        <f>B3*C3</f>
        <v>47850</v>
      </c>
      <c r="E3" s="399"/>
      <c r="F3" s="400"/>
      <c r="G3" s="400" t="s">
        <v>614</v>
      </c>
      <c r="H3" s="413">
        <v>4</v>
      </c>
      <c r="I3" s="400"/>
      <c r="J3" s="400"/>
      <c r="K3" s="400"/>
      <c r="L3" s="400"/>
      <c r="M3" s="400"/>
    </row>
    <row r="4" spans="1:19">
      <c r="C4" s="401" t="s">
        <v>609</v>
      </c>
      <c r="D4" s="66">
        <f>SUM(D2:D3)</f>
        <v>97350</v>
      </c>
      <c r="E4" s="399"/>
      <c r="F4" s="401"/>
      <c r="G4" s="402"/>
      <c r="H4" s="66"/>
      <c r="I4" s="401"/>
      <c r="J4" s="403"/>
      <c r="K4" s="403"/>
      <c r="L4" s="403"/>
      <c r="M4" s="403"/>
    </row>
    <row r="5" spans="1:19">
      <c r="C5" s="404"/>
      <c r="D5" s="66"/>
      <c r="E5" s="399"/>
      <c r="F5" s="404"/>
      <c r="G5" s="404"/>
      <c r="H5" s="66"/>
      <c r="I5" s="404"/>
      <c r="J5" s="404"/>
      <c r="K5" s="404"/>
      <c r="L5" s="404"/>
      <c r="M5" s="404"/>
    </row>
    <row r="6" spans="1:19">
      <c r="C6" s="404"/>
      <c r="D6" s="66"/>
      <c r="E6" s="399"/>
      <c r="F6" s="404"/>
      <c r="H6" s="66"/>
      <c r="I6" s="405"/>
      <c r="J6" s="405"/>
      <c r="K6" s="406"/>
      <c r="L6" s="407"/>
      <c r="M6" s="404"/>
      <c r="P6" s="66"/>
      <c r="S6" s="66"/>
    </row>
    <row r="7" spans="1:19">
      <c r="C7" s="404"/>
      <c r="D7" s="66"/>
      <c r="E7" s="399"/>
      <c r="F7" s="404"/>
      <c r="H7" s="66"/>
      <c r="I7" s="408"/>
      <c r="J7" s="408"/>
      <c r="K7" s="409"/>
      <c r="L7" s="410"/>
      <c r="M7" s="404"/>
      <c r="P7" s="66"/>
      <c r="S7" s="66"/>
    </row>
    <row r="8" spans="1:19">
      <c r="A8" t="s">
        <v>7</v>
      </c>
      <c r="C8" s="404" t="s">
        <v>18</v>
      </c>
      <c r="D8" s="66"/>
      <c r="E8" s="399"/>
      <c r="F8" s="404"/>
      <c r="H8" s="66" t="s">
        <v>617</v>
      </c>
      <c r="I8" s="66" t="s">
        <v>430</v>
      </c>
      <c r="J8" s="66" t="s">
        <v>8</v>
      </c>
      <c r="K8" s="409"/>
      <c r="L8" s="410"/>
      <c r="M8" s="404"/>
    </row>
    <row r="9" spans="1:19">
      <c r="C9" s="404" t="s">
        <v>629</v>
      </c>
      <c r="D9" s="66">
        <v>7200</v>
      </c>
      <c r="E9" s="399"/>
      <c r="F9" s="404"/>
      <c r="G9" t="s">
        <v>548</v>
      </c>
      <c r="H9" s="96">
        <f>D4</f>
        <v>97350</v>
      </c>
      <c r="I9" s="96">
        <f>$D$32*H9/SUM($H$9:$H$11)</f>
        <v>8031.6141741212041</v>
      </c>
      <c r="J9" s="96">
        <f>SUM(H9:I9)</f>
        <v>105381.6141741212</v>
      </c>
      <c r="L9" s="407"/>
      <c r="M9" s="404"/>
      <c r="S9" s="66"/>
    </row>
    <row r="10" spans="1:19">
      <c r="C10" s="404"/>
      <c r="D10" s="66">
        <v>1200</v>
      </c>
      <c r="E10" s="399"/>
      <c r="F10" s="404"/>
      <c r="G10" t="s">
        <v>615</v>
      </c>
      <c r="H10" s="96">
        <f>D21+D29</f>
        <v>21705</v>
      </c>
      <c r="I10" s="96">
        <f t="shared" ref="I10:I11" si="0">$D$32*H10/SUM($H$9:$H$11)</f>
        <v>1790.7158258787956</v>
      </c>
      <c r="J10" s="96">
        <f>SUM(H10:I10)</f>
        <v>23495.715825878797</v>
      </c>
      <c r="L10" s="407"/>
      <c r="M10" s="404"/>
      <c r="S10" s="66"/>
    </row>
    <row r="11" spans="1:19">
      <c r="C11" s="404"/>
      <c r="D11" s="66">
        <v>200</v>
      </c>
      <c r="E11" s="399"/>
      <c r="F11" s="404"/>
      <c r="G11" t="s">
        <v>616</v>
      </c>
      <c r="H11" s="96">
        <f>SUM(D27:D28)</f>
        <v>0</v>
      </c>
      <c r="I11" s="96">
        <f t="shared" si="0"/>
        <v>0</v>
      </c>
      <c r="J11" s="96">
        <f t="shared" ref="J11" si="1">SUM(H11:I11)</f>
        <v>0</v>
      </c>
      <c r="L11" s="407"/>
      <c r="M11" s="404"/>
    </row>
    <row r="12" spans="1:19">
      <c r="C12" s="404"/>
      <c r="D12" s="66">
        <v>99</v>
      </c>
      <c r="E12" s="399"/>
      <c r="F12" s="404"/>
      <c r="G12" s="408"/>
      <c r="H12" s="408"/>
      <c r="I12" s="408"/>
      <c r="J12" s="408"/>
      <c r="K12" s="411"/>
      <c r="L12" s="412"/>
      <c r="M12" s="404"/>
      <c r="S12" s="96"/>
    </row>
    <row r="13" spans="1:19">
      <c r="C13" s="401"/>
      <c r="D13" s="66">
        <v>10</v>
      </c>
      <c r="E13" s="401"/>
      <c r="F13" s="401"/>
      <c r="G13" s="408"/>
      <c r="H13" s="408"/>
      <c r="I13" s="408"/>
      <c r="J13" s="408"/>
      <c r="K13" s="411"/>
      <c r="L13" s="412"/>
      <c r="M13" s="401"/>
      <c r="S13" s="66"/>
    </row>
    <row r="14" spans="1:19">
      <c r="D14" s="66">
        <v>20</v>
      </c>
      <c r="S14" s="96"/>
    </row>
    <row r="15" spans="1:19">
      <c r="D15" s="66">
        <v>10</v>
      </c>
    </row>
    <row r="16" spans="1:19">
      <c r="D16" s="66">
        <v>600</v>
      </c>
    </row>
    <row r="17" spans="1:18">
      <c r="D17" s="66">
        <v>400</v>
      </c>
    </row>
    <row r="18" spans="1:18">
      <c r="D18" s="66">
        <v>160</v>
      </c>
    </row>
    <row r="19" spans="1:18">
      <c r="D19" s="66">
        <v>200</v>
      </c>
    </row>
    <row r="20" spans="1:18">
      <c r="C20" t="s">
        <v>610</v>
      </c>
      <c r="D20" s="66">
        <v>6</v>
      </c>
      <c r="P20" s="66"/>
      <c r="Q20" s="66"/>
      <c r="R20" s="66"/>
    </row>
    <row r="21" spans="1:18">
      <c r="C21" t="s">
        <v>611</v>
      </c>
      <c r="D21" s="66">
        <f>SUM(D9:D20)</f>
        <v>10105</v>
      </c>
      <c r="P21" s="96"/>
      <c r="Q21" s="96"/>
      <c r="R21" s="96"/>
    </row>
    <row r="22" spans="1:18">
      <c r="P22" s="96"/>
      <c r="Q22" s="96"/>
      <c r="R22" s="96"/>
    </row>
    <row r="23" spans="1:18">
      <c r="C23" t="s">
        <v>612</v>
      </c>
      <c r="D23" s="96">
        <f>D21+D4</f>
        <v>107455</v>
      </c>
    </row>
    <row r="24" spans="1:18">
      <c r="D24" s="96"/>
    </row>
    <row r="25" spans="1:18">
      <c r="D25" s="96"/>
    </row>
    <row r="27" spans="1:18">
      <c r="A27" t="s">
        <v>71</v>
      </c>
      <c r="D27" s="66">
        <v>0</v>
      </c>
    </row>
    <row r="28" spans="1:18">
      <c r="A28" t="s">
        <v>613</v>
      </c>
      <c r="D28" s="66">
        <v>0</v>
      </c>
    </row>
    <row r="29" spans="1:18">
      <c r="A29" t="s">
        <v>759</v>
      </c>
      <c r="D29" s="66">
        <v>11600</v>
      </c>
    </row>
    <row r="31" spans="1:18">
      <c r="C31" t="s">
        <v>612</v>
      </c>
      <c r="D31" s="96">
        <f>SUM(D27:D29,D23)</f>
        <v>119055</v>
      </c>
    </row>
    <row r="32" spans="1:18">
      <c r="C32" t="s">
        <v>182</v>
      </c>
      <c r="D32" s="96">
        <v>9822.33</v>
      </c>
    </row>
    <row r="33" spans="3:4">
      <c r="C33" t="s">
        <v>8</v>
      </c>
      <c r="D33" s="96">
        <f>SUM(D31:D32)</f>
        <v>128877.33</v>
      </c>
    </row>
    <row r="36" spans="3:4">
      <c r="D36" s="66">
        <f>D33+D35</f>
        <v>128877.33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DC9CF-8F6E-4DD6-854E-21EEFAF5AAD4}">
  <sheetPr codeName="Sheet5"/>
  <dimension ref="A1:W39"/>
  <sheetViews>
    <sheetView workbookViewId="0">
      <selection activeCell="B7" sqref="B7"/>
    </sheetView>
  </sheetViews>
  <sheetFormatPr defaultRowHeight="15"/>
  <cols>
    <col min="1" max="1" width="23.85546875" bestFit="1" customWidth="1"/>
    <col min="2" max="2" width="17.7109375" bestFit="1" customWidth="1"/>
    <col min="3" max="3" width="23.85546875" bestFit="1" customWidth="1"/>
    <col min="4" max="4" width="17.7109375" bestFit="1" customWidth="1"/>
    <col min="5" max="5" width="16" bestFit="1" customWidth="1"/>
    <col min="6" max="6" width="11" bestFit="1" customWidth="1"/>
    <col min="7" max="7" width="11.7109375" bestFit="1" customWidth="1"/>
    <col min="8" max="8" width="24.7109375" bestFit="1" customWidth="1"/>
    <col min="9" max="9" width="19.140625" style="66" bestFit="1" customWidth="1"/>
    <col min="11" max="11" width="20.140625" bestFit="1" customWidth="1"/>
    <col min="12" max="12" width="22.5703125" customWidth="1"/>
    <col min="13" max="13" width="17.7109375" customWidth="1"/>
    <col min="14" max="14" width="9.42578125" customWidth="1"/>
    <col min="15" max="15" width="9.5703125" customWidth="1"/>
    <col min="16" max="17" width="23.85546875" customWidth="1"/>
    <col min="19" max="19" width="22.7109375" customWidth="1"/>
    <col min="23" max="23" width="0" hidden="1" customWidth="1"/>
  </cols>
  <sheetData>
    <row r="1" spans="1:23" ht="18" thickBot="1">
      <c r="A1" s="81" t="s">
        <v>123</v>
      </c>
      <c r="B1" s="81" t="s">
        <v>124</v>
      </c>
      <c r="C1" s="81" t="s">
        <v>125</v>
      </c>
      <c r="D1" s="81" t="s">
        <v>126</v>
      </c>
      <c r="G1" s="82" t="s">
        <v>9</v>
      </c>
      <c r="H1" s="83" t="s">
        <v>127</v>
      </c>
      <c r="I1" s="83" t="s">
        <v>128</v>
      </c>
      <c r="K1" t="s">
        <v>129</v>
      </c>
      <c r="M1" s="627" t="s">
        <v>130</v>
      </c>
      <c r="N1" s="627"/>
      <c r="O1" s="627"/>
      <c r="P1" s="627"/>
      <c r="Q1" s="627"/>
      <c r="R1" s="627"/>
      <c r="S1" s="627"/>
      <c r="T1" s="627"/>
      <c r="U1" s="627"/>
      <c r="V1" s="627"/>
    </row>
    <row r="2" spans="1:23" ht="15.75" thickTop="1">
      <c r="A2" t="s">
        <v>131</v>
      </c>
      <c r="B2">
        <v>20.416666666666664</v>
      </c>
      <c r="C2">
        <v>128</v>
      </c>
      <c r="D2">
        <v>6</v>
      </c>
      <c r="G2" s="84" t="s">
        <v>27</v>
      </c>
      <c r="H2" s="85">
        <f>AVERAGEIFS($K$13:$K$39, $A$13:$A$39,$G2)</f>
        <v>39.093336640211639</v>
      </c>
      <c r="I2" s="85">
        <f>AVERAGEIFS($I$13:$I$39, $A$13:$A$39,$G2,$C$13:$C$39,"Yes")</f>
        <v>1.6813188034188036</v>
      </c>
      <c r="M2" s="86">
        <v>5</v>
      </c>
      <c r="N2" s="86">
        <v>7</v>
      </c>
      <c r="O2" s="86">
        <v>7.5</v>
      </c>
      <c r="P2" s="86">
        <v>10</v>
      </c>
      <c r="Q2" s="86">
        <v>13</v>
      </c>
      <c r="R2" s="86">
        <v>14</v>
      </c>
      <c r="S2" s="86">
        <v>15</v>
      </c>
      <c r="T2" s="86">
        <v>20</v>
      </c>
      <c r="U2" s="86">
        <v>25</v>
      </c>
      <c r="V2" s="86">
        <v>30</v>
      </c>
    </row>
    <row r="3" spans="1:23">
      <c r="A3" t="s">
        <v>132</v>
      </c>
      <c r="B3">
        <v>153.125</v>
      </c>
      <c r="C3">
        <v>1723</v>
      </c>
      <c r="D3">
        <v>11</v>
      </c>
      <c r="G3" s="84" t="s">
        <v>26</v>
      </c>
      <c r="H3" s="85">
        <f t="shared" ref="H3:H4" si="0">AVERAGEIFS($K$13:$K$39, $A$13:$A$39,$G3)</f>
        <v>24.732440476190476</v>
      </c>
      <c r="I3" s="85">
        <f t="shared" ref="I3" si="1">AVERAGEIFS($I$13:$I$39, $A$13:$A$39,$G3,$C$13:$C$39,"Yes")</f>
        <v>1.0769077380952381</v>
      </c>
      <c r="K3" s="628" t="s">
        <v>133</v>
      </c>
      <c r="L3" s="87">
        <v>5</v>
      </c>
      <c r="M3" s="66">
        <f t="shared" ref="M3:Q7" si="2">IF(ISERROR(AVERAGEIFS($K$13:$K$39,$D$13:$D$39,$L3,$E$13:$E$39,M$2)), "", AVERAGEIFS($K$13:$K$39,$D$13:$D$39,$L3,$E$13:$E$39,M$2))</f>
        <v>42</v>
      </c>
      <c r="N3" s="66" t="str">
        <f t="shared" si="2"/>
        <v/>
      </c>
      <c r="O3" s="66" t="str">
        <f t="shared" si="2"/>
        <v/>
      </c>
      <c r="P3" s="66">
        <f t="shared" si="2"/>
        <v>39.5</v>
      </c>
      <c r="Q3" s="66" t="str">
        <f t="shared" si="2"/>
        <v/>
      </c>
      <c r="R3" s="66"/>
      <c r="S3" s="66">
        <f t="shared" ref="S3:V7" si="3">IF(ISERROR(AVERAGEIFS($K$13:$K$39,$D$13:$D$39,$L3,$E$13:$E$39,S$2)), "", AVERAGEIFS($K$13:$K$39,$D$13:$D$39,$L3,$E$13:$E$39,S$2))</f>
        <v>32.666666666666664</v>
      </c>
      <c r="T3" s="66" t="str">
        <f t="shared" si="3"/>
        <v/>
      </c>
      <c r="U3" s="66" t="str">
        <f t="shared" si="3"/>
        <v/>
      </c>
      <c r="V3" s="66" t="str">
        <f t="shared" si="3"/>
        <v/>
      </c>
    </row>
    <row r="4" spans="1:23">
      <c r="G4" s="88" t="s">
        <v>28</v>
      </c>
      <c r="H4" s="89">
        <f t="shared" si="0"/>
        <v>33.412414965986393</v>
      </c>
      <c r="I4" s="89">
        <f>AVERAGEIFS($I$13:$I$39, $A$13:$A$39,$G4,$C$13:$C$39,"Yes")</f>
        <v>1.5407619047619048</v>
      </c>
      <c r="K4" s="628"/>
      <c r="L4" s="87">
        <v>7</v>
      </c>
      <c r="M4" s="66" t="str">
        <f t="shared" si="2"/>
        <v/>
      </c>
      <c r="N4" s="66" t="str">
        <f t="shared" si="2"/>
        <v/>
      </c>
      <c r="O4" s="66" t="str">
        <f t="shared" si="2"/>
        <v/>
      </c>
      <c r="P4" s="66">
        <f t="shared" si="2"/>
        <v>43.666666666666664</v>
      </c>
      <c r="Q4" s="66" t="str">
        <f t="shared" si="2"/>
        <v/>
      </c>
      <c r="R4" s="66"/>
      <c r="S4" s="66" t="str">
        <f t="shared" si="3"/>
        <v/>
      </c>
      <c r="T4" s="66" t="str">
        <f t="shared" si="3"/>
        <v/>
      </c>
      <c r="U4" s="66" t="str">
        <f t="shared" si="3"/>
        <v/>
      </c>
      <c r="V4" s="66" t="str">
        <f t="shared" si="3"/>
        <v/>
      </c>
    </row>
    <row r="5" spans="1:23">
      <c r="H5" s="66"/>
      <c r="K5" s="628"/>
      <c r="L5" s="87">
        <v>8</v>
      </c>
      <c r="M5" s="66" t="str">
        <f t="shared" si="2"/>
        <v/>
      </c>
      <c r="N5" s="66" t="str">
        <f t="shared" si="2"/>
        <v/>
      </c>
      <c r="O5" s="66" t="str">
        <f t="shared" si="2"/>
        <v/>
      </c>
      <c r="P5" s="66" t="str">
        <f t="shared" si="2"/>
        <v/>
      </c>
      <c r="Q5" s="66" t="str">
        <f t="shared" si="2"/>
        <v/>
      </c>
      <c r="R5" s="66"/>
      <c r="S5" s="66" t="str">
        <f t="shared" si="3"/>
        <v/>
      </c>
      <c r="T5" s="66" t="str">
        <f t="shared" si="3"/>
        <v/>
      </c>
      <c r="U5" s="66" t="str">
        <f t="shared" si="3"/>
        <v/>
      </c>
      <c r="V5" s="66" t="str">
        <f t="shared" si="3"/>
        <v/>
      </c>
    </row>
    <row r="6" spans="1:23">
      <c r="A6" s="90" t="s">
        <v>134</v>
      </c>
      <c r="B6" t="s">
        <v>135</v>
      </c>
      <c r="D6" t="s">
        <v>135</v>
      </c>
      <c r="F6" t="s">
        <v>136</v>
      </c>
      <c r="H6" s="66"/>
      <c r="K6" s="628"/>
      <c r="L6" s="87">
        <v>10</v>
      </c>
      <c r="M6" s="66" t="str">
        <f t="shared" si="2"/>
        <v/>
      </c>
      <c r="N6" s="66">
        <f t="shared" si="2"/>
        <v>54.666666666666664</v>
      </c>
      <c r="O6" s="91">
        <f t="shared" si="2"/>
        <v>24.483333333333334</v>
      </c>
      <c r="P6" s="92">
        <f t="shared" si="2"/>
        <v>32.125</v>
      </c>
      <c r="Q6" s="92">
        <f t="shared" si="2"/>
        <v>32.666666666666664</v>
      </c>
      <c r="R6" s="92"/>
      <c r="S6" s="66">
        <f t="shared" si="3"/>
        <v>26.857142857142858</v>
      </c>
      <c r="T6" s="66">
        <f t="shared" si="3"/>
        <v>33.337037037037042</v>
      </c>
      <c r="U6" s="66">
        <f t="shared" si="3"/>
        <v>35.095833333333331</v>
      </c>
      <c r="V6" s="91">
        <f t="shared" si="3"/>
        <v>28.591964285714287</v>
      </c>
    </row>
    <row r="7" spans="1:23">
      <c r="A7" s="82" t="s">
        <v>26</v>
      </c>
      <c r="B7" s="83">
        <f>AVERAGEIFS($I$13:$I$39,$A$13:$A$39,A7,$B$13:$B$39,A8)</f>
        <v>0.7642916666666667</v>
      </c>
      <c r="C7" s="82" t="s">
        <v>27</v>
      </c>
      <c r="D7" s="83">
        <f>AVERAGEIFS($I$13:$I$39,$A$13:$A$39,C7,$B$13:$B$39,C8,$W$13:$W$39,FALSE)</f>
        <v>1.4921947496947496</v>
      </c>
      <c r="E7" s="82" t="s">
        <v>28</v>
      </c>
      <c r="F7" s="83">
        <f>AVERAGEIFS($I$13:$I$39,$A$13:$A$39,E7,$B$13:$B$39,E8)</f>
        <v>1.0948333333333333</v>
      </c>
      <c r="H7" s="66"/>
      <c r="K7" s="628"/>
      <c r="L7" s="87">
        <v>20</v>
      </c>
      <c r="M7" s="66" t="str">
        <f t="shared" si="2"/>
        <v/>
      </c>
      <c r="N7" s="66" t="str">
        <f t="shared" si="2"/>
        <v/>
      </c>
      <c r="O7" s="66" t="str">
        <f t="shared" si="2"/>
        <v/>
      </c>
      <c r="P7" s="66">
        <f t="shared" si="2"/>
        <v>36.666666666666664</v>
      </c>
      <c r="Q7" s="66" t="str">
        <f t="shared" si="2"/>
        <v/>
      </c>
      <c r="R7" s="66"/>
      <c r="S7" s="91">
        <f t="shared" si="3"/>
        <v>13.603571428571428</v>
      </c>
      <c r="T7" s="66" t="str">
        <f t="shared" si="3"/>
        <v/>
      </c>
      <c r="U7" s="66" t="str">
        <f t="shared" si="3"/>
        <v/>
      </c>
      <c r="V7" s="66" t="str">
        <f t="shared" si="3"/>
        <v/>
      </c>
    </row>
    <row r="8" spans="1:23">
      <c r="A8" s="84" t="s">
        <v>137</v>
      </c>
      <c r="B8" s="93"/>
      <c r="C8" s="84" t="s">
        <v>138</v>
      </c>
      <c r="D8" s="93"/>
      <c r="E8" s="84" t="s">
        <v>138</v>
      </c>
      <c r="F8" s="93"/>
      <c r="H8" s="66"/>
      <c r="I8"/>
      <c r="R8" s="66" t="str">
        <f>IF(ISERROR(AVERAGEIFS($K$13:$K$39,$D$13:$D$39,$K8,$E$13:$E$39,S$2)), "", AVERAGEIFS($K$13:$K$39,$D$13:$D$39,$K8,$E$13:$E$39,S$2))</f>
        <v/>
      </c>
      <c r="S8" s="66" t="str">
        <f>IF(ISERROR(AVERAGEIFS($K$13:$K$39,$D$13:$D$39,$K8,$E$13:$E$39,T$2)), "", AVERAGEIFS($K$13:$K$39,$D$13:$D$39,$K8,$E$13:$E$39,T$2))</f>
        <v/>
      </c>
      <c r="T8" s="66" t="str">
        <f>IF(ISERROR(AVERAGEIFS($K$13:$K$39,$D$13:$D$39,$K8,$E$13:$E$39,U$2)), "", AVERAGEIFS($K$13:$K$39,$D$13:$D$39,$K8,$E$13:$E$39,U$2))</f>
        <v/>
      </c>
      <c r="U8" s="66" t="str">
        <f>IF(ISERROR(AVERAGEIFS($K$13:$K$39,$D$13:$D$39,$K8,$E$13:$E$39,V$2)), "", AVERAGEIFS($K$13:$K$39,$D$13:$D$39,$K8,$E$13:$E$39,V$2))</f>
        <v/>
      </c>
    </row>
    <row r="9" spans="1:23">
      <c r="A9" s="88" t="s">
        <v>139</v>
      </c>
      <c r="B9" s="94"/>
      <c r="C9" s="88" t="s">
        <v>140</v>
      </c>
      <c r="D9" s="94"/>
      <c r="E9" s="88" t="s">
        <v>141</v>
      </c>
      <c r="F9" s="94"/>
      <c r="H9" s="66"/>
      <c r="I9"/>
      <c r="R9" s="66"/>
      <c r="S9" s="66"/>
      <c r="T9" s="66"/>
      <c r="U9" s="66"/>
    </row>
    <row r="10" spans="1:23">
      <c r="H10" s="66"/>
      <c r="I10"/>
    </row>
    <row r="12" spans="1:23" s="81" customFormat="1" ht="18" thickBot="1">
      <c r="A12" s="81" t="s">
        <v>9</v>
      </c>
      <c r="B12" s="81" t="s">
        <v>142</v>
      </c>
      <c r="C12" s="81" t="s">
        <v>143</v>
      </c>
      <c r="D12" s="81" t="s">
        <v>133</v>
      </c>
      <c r="E12" s="81" t="s">
        <v>130</v>
      </c>
      <c r="F12" s="81" t="s">
        <v>144</v>
      </c>
      <c r="G12" s="81" t="s">
        <v>23</v>
      </c>
      <c r="H12" s="95" t="s">
        <v>145</v>
      </c>
      <c r="I12" s="81" t="s">
        <v>146</v>
      </c>
      <c r="J12" s="81" t="s">
        <v>147</v>
      </c>
      <c r="K12" s="81" t="s">
        <v>148</v>
      </c>
      <c r="L12" s="81" t="s">
        <v>149</v>
      </c>
      <c r="W12" s="81" t="s">
        <v>150</v>
      </c>
    </row>
    <row r="13" spans="1:23" ht="15.75" thickTop="1">
      <c r="A13" t="s">
        <v>27</v>
      </c>
      <c r="B13" t="s">
        <v>138</v>
      </c>
      <c r="C13" t="s">
        <v>151</v>
      </c>
      <c r="D13">
        <v>5</v>
      </c>
      <c r="E13">
        <v>5</v>
      </c>
      <c r="F13">
        <v>8</v>
      </c>
      <c r="G13">
        <f>D13*E13</f>
        <v>25</v>
      </c>
      <c r="H13" s="66">
        <v>58</v>
      </c>
      <c r="I13" s="96">
        <f>H13/G13</f>
        <v>2.3199999999999998</v>
      </c>
      <c r="J13">
        <f t="shared" ref="J13:J39" si="4">ROUNDDOWN(G13/$B$2,0)</f>
        <v>1</v>
      </c>
      <c r="K13" s="96">
        <f>H13/J13</f>
        <v>58</v>
      </c>
      <c r="L13" s="97" t="s">
        <v>152</v>
      </c>
      <c r="W13" t="b">
        <f>IF(OR(AND(D13=5,E13=5),AND(D13=10,E13=7)),TRUE,FALSE)</f>
        <v>1</v>
      </c>
    </row>
    <row r="14" spans="1:23">
      <c r="A14" t="s">
        <v>27</v>
      </c>
      <c r="B14" t="s">
        <v>138</v>
      </c>
      <c r="C14" t="s">
        <v>151</v>
      </c>
      <c r="D14">
        <v>5</v>
      </c>
      <c r="E14">
        <v>15</v>
      </c>
      <c r="F14">
        <v>8</v>
      </c>
      <c r="G14">
        <f>D14*E14</f>
        <v>75</v>
      </c>
      <c r="H14" s="66">
        <v>98</v>
      </c>
      <c r="I14" s="96">
        <f t="shared" ref="I14:I39" si="5">H14/G14</f>
        <v>1.3066666666666666</v>
      </c>
      <c r="J14">
        <f t="shared" si="4"/>
        <v>3</v>
      </c>
      <c r="K14" s="96">
        <f t="shared" ref="K14:K39" si="6">H14/J14</f>
        <v>32.666666666666664</v>
      </c>
      <c r="L14" s="97" t="s">
        <v>152</v>
      </c>
      <c r="W14" t="b">
        <f t="shared" ref="W14:W39" si="7">IF(OR(AND(D14=5,E14=5),AND(D14=10,E14=7)),TRUE,FALSE)</f>
        <v>0</v>
      </c>
    </row>
    <row r="15" spans="1:23">
      <c r="A15" t="s">
        <v>27</v>
      </c>
      <c r="B15" t="s">
        <v>138</v>
      </c>
      <c r="C15" t="s">
        <v>151</v>
      </c>
      <c r="D15">
        <v>10</v>
      </c>
      <c r="E15">
        <v>13</v>
      </c>
      <c r="F15">
        <v>8</v>
      </c>
      <c r="G15">
        <f>D15*E15</f>
        <v>130</v>
      </c>
      <c r="H15" s="66">
        <v>196</v>
      </c>
      <c r="I15" s="96">
        <f t="shared" si="5"/>
        <v>1.5076923076923077</v>
      </c>
      <c r="J15">
        <f t="shared" si="4"/>
        <v>6</v>
      </c>
      <c r="K15" s="96">
        <f t="shared" si="6"/>
        <v>32.666666666666664</v>
      </c>
      <c r="L15" s="97" t="s">
        <v>152</v>
      </c>
      <c r="W15" t="b">
        <f t="shared" si="7"/>
        <v>0</v>
      </c>
    </row>
    <row r="16" spans="1:23">
      <c r="A16" t="s">
        <v>27</v>
      </c>
      <c r="B16" t="s">
        <v>138</v>
      </c>
      <c r="C16" t="s">
        <v>151</v>
      </c>
      <c r="D16">
        <v>5</v>
      </c>
      <c r="E16">
        <v>5</v>
      </c>
      <c r="F16">
        <v>8</v>
      </c>
      <c r="G16">
        <f t="shared" ref="G16:G39" si="8">D16*E16</f>
        <v>25</v>
      </c>
      <c r="H16" s="66">
        <v>26</v>
      </c>
      <c r="I16" s="96">
        <f t="shared" si="5"/>
        <v>1.04</v>
      </c>
      <c r="J16">
        <f t="shared" si="4"/>
        <v>1</v>
      </c>
      <c r="K16" s="96">
        <f t="shared" si="6"/>
        <v>26</v>
      </c>
      <c r="L16" s="97" t="s">
        <v>152</v>
      </c>
      <c r="W16" t="b">
        <f t="shared" si="7"/>
        <v>1</v>
      </c>
    </row>
    <row r="17" spans="1:23">
      <c r="A17" t="s">
        <v>27</v>
      </c>
      <c r="B17" t="s">
        <v>138</v>
      </c>
      <c r="C17" t="s">
        <v>151</v>
      </c>
      <c r="D17">
        <v>10</v>
      </c>
      <c r="E17">
        <v>10</v>
      </c>
      <c r="F17">
        <v>8</v>
      </c>
      <c r="G17">
        <f t="shared" si="8"/>
        <v>100</v>
      </c>
      <c r="H17" s="66">
        <v>130</v>
      </c>
      <c r="I17" s="96">
        <f t="shared" si="5"/>
        <v>1.3</v>
      </c>
      <c r="J17">
        <f t="shared" si="4"/>
        <v>4</v>
      </c>
      <c r="K17" s="96">
        <f t="shared" si="6"/>
        <v>32.5</v>
      </c>
      <c r="L17" s="97" t="s">
        <v>152</v>
      </c>
      <c r="W17" t="b">
        <f t="shared" si="7"/>
        <v>0</v>
      </c>
    </row>
    <row r="18" spans="1:23">
      <c r="A18" t="s">
        <v>27</v>
      </c>
      <c r="B18" t="s">
        <v>138</v>
      </c>
      <c r="C18" t="s">
        <v>151</v>
      </c>
      <c r="D18">
        <v>10</v>
      </c>
      <c r="E18">
        <v>14</v>
      </c>
      <c r="F18">
        <v>8</v>
      </c>
      <c r="G18">
        <f t="shared" si="8"/>
        <v>140</v>
      </c>
      <c r="H18" s="66">
        <v>218</v>
      </c>
      <c r="I18" s="96">
        <f t="shared" si="5"/>
        <v>1.5571428571428572</v>
      </c>
      <c r="J18">
        <f t="shared" si="4"/>
        <v>6</v>
      </c>
      <c r="K18" s="96">
        <f t="shared" si="6"/>
        <v>36.333333333333336</v>
      </c>
      <c r="L18" s="97" t="s">
        <v>152</v>
      </c>
      <c r="W18" t="b">
        <f t="shared" si="7"/>
        <v>0</v>
      </c>
    </row>
    <row r="19" spans="1:23">
      <c r="A19" t="s">
        <v>27</v>
      </c>
      <c r="B19" t="s">
        <v>138</v>
      </c>
      <c r="C19" t="s">
        <v>151</v>
      </c>
      <c r="D19">
        <v>10</v>
      </c>
      <c r="E19">
        <v>20</v>
      </c>
      <c r="F19">
        <v>8</v>
      </c>
      <c r="G19">
        <f t="shared" si="8"/>
        <v>200</v>
      </c>
      <c r="H19" s="66">
        <v>371</v>
      </c>
      <c r="I19" s="96">
        <f t="shared" si="5"/>
        <v>1.855</v>
      </c>
      <c r="J19">
        <f t="shared" si="4"/>
        <v>9</v>
      </c>
      <c r="K19" s="96">
        <f t="shared" si="6"/>
        <v>41.222222222222221</v>
      </c>
      <c r="L19" s="97" t="s">
        <v>152</v>
      </c>
      <c r="W19" t="b">
        <f t="shared" si="7"/>
        <v>0</v>
      </c>
    </row>
    <row r="20" spans="1:23">
      <c r="A20" t="s">
        <v>27</v>
      </c>
      <c r="B20" t="s">
        <v>138</v>
      </c>
      <c r="C20" t="s">
        <v>151</v>
      </c>
      <c r="D20">
        <v>10</v>
      </c>
      <c r="E20">
        <v>7</v>
      </c>
      <c r="F20">
        <v>8</v>
      </c>
      <c r="G20">
        <f t="shared" si="8"/>
        <v>70</v>
      </c>
      <c r="H20" s="66">
        <v>164</v>
      </c>
      <c r="I20" s="96">
        <f t="shared" si="5"/>
        <v>2.342857142857143</v>
      </c>
      <c r="J20">
        <f t="shared" si="4"/>
        <v>3</v>
      </c>
      <c r="K20" s="96">
        <f t="shared" si="6"/>
        <v>54.666666666666664</v>
      </c>
      <c r="L20" s="97" t="s">
        <v>152</v>
      </c>
      <c r="W20" t="b">
        <f t="shared" si="7"/>
        <v>1</v>
      </c>
    </row>
    <row r="21" spans="1:23">
      <c r="A21" t="s">
        <v>27</v>
      </c>
      <c r="B21" t="s">
        <v>138</v>
      </c>
      <c r="C21" t="s">
        <v>151</v>
      </c>
      <c r="D21">
        <v>10</v>
      </c>
      <c r="E21">
        <v>15</v>
      </c>
      <c r="F21">
        <v>8</v>
      </c>
      <c r="G21">
        <f t="shared" si="8"/>
        <v>150</v>
      </c>
      <c r="H21" s="66">
        <v>214</v>
      </c>
      <c r="I21" s="96">
        <f t="shared" si="5"/>
        <v>1.4266666666666667</v>
      </c>
      <c r="J21">
        <f t="shared" si="4"/>
        <v>7</v>
      </c>
      <c r="K21" s="96">
        <f t="shared" si="6"/>
        <v>30.571428571428573</v>
      </c>
      <c r="L21" s="97" t="s">
        <v>152</v>
      </c>
      <c r="W21" t="b">
        <f t="shared" si="7"/>
        <v>0</v>
      </c>
    </row>
    <row r="22" spans="1:23">
      <c r="A22" t="s">
        <v>26</v>
      </c>
      <c r="B22" t="s">
        <v>153</v>
      </c>
      <c r="C22" t="s">
        <v>151</v>
      </c>
      <c r="D22">
        <v>20</v>
      </c>
      <c r="E22">
        <v>15</v>
      </c>
      <c r="F22">
        <v>8</v>
      </c>
      <c r="G22">
        <f t="shared" si="8"/>
        <v>300</v>
      </c>
      <c r="H22" s="66">
        <v>190.45</v>
      </c>
      <c r="I22" s="96">
        <f t="shared" si="5"/>
        <v>0.63483333333333325</v>
      </c>
      <c r="J22">
        <f t="shared" si="4"/>
        <v>14</v>
      </c>
      <c r="K22" s="96">
        <f t="shared" si="6"/>
        <v>13.603571428571428</v>
      </c>
      <c r="L22" s="97" t="s">
        <v>154</v>
      </c>
      <c r="W22" t="b">
        <f t="shared" si="7"/>
        <v>0</v>
      </c>
    </row>
    <row r="23" spans="1:23">
      <c r="A23" t="s">
        <v>26</v>
      </c>
      <c r="B23" t="s">
        <v>153</v>
      </c>
      <c r="C23" t="s">
        <v>151</v>
      </c>
      <c r="D23">
        <v>10</v>
      </c>
      <c r="E23">
        <v>30</v>
      </c>
      <c r="F23">
        <v>8</v>
      </c>
      <c r="G23">
        <f t="shared" si="8"/>
        <v>300</v>
      </c>
      <c r="H23" s="66">
        <v>228.15</v>
      </c>
      <c r="I23" s="96">
        <f t="shared" si="5"/>
        <v>0.76050000000000006</v>
      </c>
      <c r="J23">
        <f t="shared" si="4"/>
        <v>14</v>
      </c>
      <c r="K23" s="96">
        <f t="shared" si="6"/>
        <v>16.296428571428571</v>
      </c>
      <c r="L23" s="97" t="s">
        <v>154</v>
      </c>
      <c r="W23" t="b">
        <f t="shared" si="7"/>
        <v>0</v>
      </c>
    </row>
    <row r="24" spans="1:23">
      <c r="A24" t="s">
        <v>26</v>
      </c>
      <c r="B24" t="s">
        <v>153</v>
      </c>
      <c r="C24" t="s">
        <v>151</v>
      </c>
      <c r="D24">
        <v>10</v>
      </c>
      <c r="E24">
        <v>20</v>
      </c>
      <c r="F24">
        <v>8</v>
      </c>
      <c r="G24">
        <f t="shared" si="8"/>
        <v>200</v>
      </c>
      <c r="H24" s="66">
        <v>136.5</v>
      </c>
      <c r="I24" s="96">
        <f t="shared" si="5"/>
        <v>0.6825</v>
      </c>
      <c r="J24">
        <f t="shared" si="4"/>
        <v>9</v>
      </c>
      <c r="K24" s="96">
        <f t="shared" si="6"/>
        <v>15.166666666666666</v>
      </c>
      <c r="L24" s="97" t="s">
        <v>154</v>
      </c>
      <c r="W24" t="b">
        <f t="shared" si="7"/>
        <v>0</v>
      </c>
    </row>
    <row r="25" spans="1:23">
      <c r="A25" t="s">
        <v>26</v>
      </c>
      <c r="B25" t="s">
        <v>153</v>
      </c>
      <c r="C25" t="s">
        <v>151</v>
      </c>
      <c r="D25">
        <v>10</v>
      </c>
      <c r="E25">
        <v>7.5</v>
      </c>
      <c r="F25">
        <v>8</v>
      </c>
      <c r="G25">
        <f t="shared" si="8"/>
        <v>75</v>
      </c>
      <c r="H25" s="66">
        <v>73.45</v>
      </c>
      <c r="I25" s="96">
        <f t="shared" si="5"/>
        <v>0.97933333333333339</v>
      </c>
      <c r="J25">
        <f t="shared" si="4"/>
        <v>3</v>
      </c>
      <c r="K25" s="96">
        <f t="shared" si="6"/>
        <v>24.483333333333334</v>
      </c>
      <c r="L25" s="97" t="s">
        <v>154</v>
      </c>
      <c r="W25" t="b">
        <f t="shared" si="7"/>
        <v>0</v>
      </c>
    </row>
    <row r="26" spans="1:23">
      <c r="A26" t="s">
        <v>27</v>
      </c>
      <c r="B26" t="s">
        <v>153</v>
      </c>
      <c r="C26" t="s">
        <v>151</v>
      </c>
      <c r="D26">
        <v>10</v>
      </c>
      <c r="E26">
        <v>20</v>
      </c>
      <c r="F26">
        <v>8</v>
      </c>
      <c r="G26">
        <f t="shared" si="8"/>
        <v>200</v>
      </c>
      <c r="H26" s="66">
        <v>392.6</v>
      </c>
      <c r="I26" s="96">
        <f t="shared" si="5"/>
        <v>1.9630000000000001</v>
      </c>
      <c r="J26">
        <f t="shared" si="4"/>
        <v>9</v>
      </c>
      <c r="K26" s="96">
        <f t="shared" si="6"/>
        <v>43.622222222222227</v>
      </c>
      <c r="L26" s="97" t="s">
        <v>155</v>
      </c>
      <c r="W26" t="b">
        <f t="shared" si="7"/>
        <v>0</v>
      </c>
    </row>
    <row r="27" spans="1:23">
      <c r="A27" t="s">
        <v>27</v>
      </c>
      <c r="B27" t="s">
        <v>153</v>
      </c>
      <c r="C27" t="s">
        <v>151</v>
      </c>
      <c r="D27">
        <v>10</v>
      </c>
      <c r="E27">
        <v>25</v>
      </c>
      <c r="F27">
        <v>8</v>
      </c>
      <c r="G27">
        <f t="shared" si="8"/>
        <v>250</v>
      </c>
      <c r="H27" s="66">
        <v>482.95</v>
      </c>
      <c r="I27" s="96">
        <f t="shared" si="5"/>
        <v>1.9318</v>
      </c>
      <c r="J27">
        <f t="shared" si="4"/>
        <v>12</v>
      </c>
      <c r="K27" s="96">
        <f t="shared" si="6"/>
        <v>40.24583333333333</v>
      </c>
      <c r="L27" s="97" t="s">
        <v>155</v>
      </c>
      <c r="W27" t="b">
        <f t="shared" si="7"/>
        <v>0</v>
      </c>
    </row>
    <row r="28" spans="1:23">
      <c r="A28" t="s">
        <v>27</v>
      </c>
      <c r="B28" t="s">
        <v>153</v>
      </c>
      <c r="C28" t="s">
        <v>151</v>
      </c>
      <c r="D28">
        <v>10</v>
      </c>
      <c r="E28">
        <v>10</v>
      </c>
      <c r="F28">
        <v>8</v>
      </c>
      <c r="G28">
        <f t="shared" si="8"/>
        <v>100</v>
      </c>
      <c r="H28" s="66">
        <v>162.5</v>
      </c>
      <c r="I28" s="96">
        <f t="shared" si="5"/>
        <v>1.625</v>
      </c>
      <c r="J28">
        <f t="shared" si="4"/>
        <v>4</v>
      </c>
      <c r="K28" s="96">
        <f t="shared" si="6"/>
        <v>40.625</v>
      </c>
      <c r="L28" s="97" t="s">
        <v>155</v>
      </c>
      <c r="W28" t="b">
        <f t="shared" si="7"/>
        <v>0</v>
      </c>
    </row>
    <row r="29" spans="1:23">
      <c r="A29" t="s">
        <v>26</v>
      </c>
      <c r="B29" t="s">
        <v>138</v>
      </c>
      <c r="C29" t="s">
        <v>151</v>
      </c>
      <c r="D29">
        <v>10</v>
      </c>
      <c r="E29">
        <v>30</v>
      </c>
      <c r="F29">
        <v>8</v>
      </c>
      <c r="G29">
        <f t="shared" si="8"/>
        <v>300</v>
      </c>
      <c r="H29" s="66">
        <v>316</v>
      </c>
      <c r="I29" s="96">
        <f t="shared" si="5"/>
        <v>1.0533333333333332</v>
      </c>
      <c r="J29">
        <f t="shared" si="4"/>
        <v>14</v>
      </c>
      <c r="K29" s="96">
        <f t="shared" si="6"/>
        <v>22.571428571428573</v>
      </c>
      <c r="L29" s="97" t="s">
        <v>156</v>
      </c>
      <c r="W29" t="b">
        <f t="shared" si="7"/>
        <v>0</v>
      </c>
    </row>
    <row r="30" spans="1:23">
      <c r="A30" t="s">
        <v>26</v>
      </c>
      <c r="B30" t="s">
        <v>138</v>
      </c>
      <c r="C30" t="s">
        <v>151</v>
      </c>
      <c r="D30">
        <v>7</v>
      </c>
      <c r="E30">
        <v>10</v>
      </c>
      <c r="F30">
        <v>8</v>
      </c>
      <c r="G30">
        <f t="shared" si="8"/>
        <v>70</v>
      </c>
      <c r="H30" s="66">
        <v>131</v>
      </c>
      <c r="I30" s="96">
        <f t="shared" si="5"/>
        <v>1.8714285714285714</v>
      </c>
      <c r="J30">
        <f t="shared" si="4"/>
        <v>3</v>
      </c>
      <c r="K30" s="96">
        <f t="shared" si="6"/>
        <v>43.666666666666664</v>
      </c>
      <c r="L30" s="97" t="s">
        <v>156</v>
      </c>
      <c r="W30" t="b">
        <f t="shared" si="7"/>
        <v>0</v>
      </c>
    </row>
    <row r="31" spans="1:23">
      <c r="A31" t="s">
        <v>26</v>
      </c>
      <c r="B31" t="s">
        <v>138</v>
      </c>
      <c r="C31" t="s">
        <v>151</v>
      </c>
      <c r="D31">
        <v>5</v>
      </c>
      <c r="E31">
        <v>10</v>
      </c>
      <c r="F31">
        <v>8</v>
      </c>
      <c r="G31">
        <f t="shared" si="8"/>
        <v>50</v>
      </c>
      <c r="H31" s="66">
        <v>79</v>
      </c>
      <c r="I31" s="96">
        <f t="shared" si="5"/>
        <v>1.58</v>
      </c>
      <c r="J31">
        <f t="shared" si="4"/>
        <v>2</v>
      </c>
      <c r="K31" s="96">
        <f t="shared" si="6"/>
        <v>39.5</v>
      </c>
      <c r="L31" s="97" t="s">
        <v>156</v>
      </c>
      <c r="W31" t="b">
        <f t="shared" si="7"/>
        <v>0</v>
      </c>
    </row>
    <row r="32" spans="1:23">
      <c r="A32" t="s">
        <v>26</v>
      </c>
      <c r="B32" t="s">
        <v>138</v>
      </c>
      <c r="C32" t="s">
        <v>151</v>
      </c>
      <c r="D32">
        <v>10</v>
      </c>
      <c r="E32">
        <v>30</v>
      </c>
      <c r="F32">
        <v>8</v>
      </c>
      <c r="G32">
        <f t="shared" si="8"/>
        <v>300</v>
      </c>
      <c r="H32" s="66">
        <v>316</v>
      </c>
      <c r="I32" s="96">
        <f t="shared" si="5"/>
        <v>1.0533333333333332</v>
      </c>
      <c r="J32">
        <f t="shared" si="4"/>
        <v>14</v>
      </c>
      <c r="K32" s="96">
        <f t="shared" si="6"/>
        <v>22.571428571428573</v>
      </c>
      <c r="L32" s="97" t="s">
        <v>156</v>
      </c>
      <c r="W32" t="b">
        <f t="shared" si="7"/>
        <v>0</v>
      </c>
    </row>
    <row r="33" spans="1:23">
      <c r="A33" t="s">
        <v>28</v>
      </c>
      <c r="B33" t="s">
        <v>138</v>
      </c>
      <c r="C33" t="s">
        <v>151</v>
      </c>
      <c r="D33">
        <v>15</v>
      </c>
      <c r="E33">
        <v>10</v>
      </c>
      <c r="F33">
        <v>8</v>
      </c>
      <c r="G33">
        <f t="shared" si="8"/>
        <v>150</v>
      </c>
      <c r="H33" s="66">
        <v>230</v>
      </c>
      <c r="I33" s="96">
        <f t="shared" si="5"/>
        <v>1.5333333333333334</v>
      </c>
      <c r="J33">
        <f t="shared" si="4"/>
        <v>7</v>
      </c>
      <c r="K33" s="96">
        <f t="shared" si="6"/>
        <v>32.857142857142854</v>
      </c>
      <c r="L33" s="97" t="s">
        <v>157</v>
      </c>
      <c r="W33" t="b">
        <f t="shared" si="7"/>
        <v>0</v>
      </c>
    </row>
    <row r="34" spans="1:23">
      <c r="A34" t="s">
        <v>28</v>
      </c>
      <c r="B34" t="s">
        <v>138</v>
      </c>
      <c r="C34" t="s">
        <v>151</v>
      </c>
      <c r="D34">
        <v>10</v>
      </c>
      <c r="E34">
        <v>10</v>
      </c>
      <c r="F34">
        <v>8</v>
      </c>
      <c r="G34">
        <f t="shared" si="8"/>
        <v>100</v>
      </c>
      <c r="H34" s="66">
        <v>93</v>
      </c>
      <c r="I34" s="96">
        <f t="shared" si="5"/>
        <v>0.93</v>
      </c>
      <c r="J34">
        <f t="shared" si="4"/>
        <v>4</v>
      </c>
      <c r="K34" s="96">
        <f t="shared" si="6"/>
        <v>23.25</v>
      </c>
      <c r="L34" s="97" t="s">
        <v>157</v>
      </c>
      <c r="W34" t="b">
        <f t="shared" si="7"/>
        <v>0</v>
      </c>
    </row>
    <row r="35" spans="1:23">
      <c r="A35" t="s">
        <v>28</v>
      </c>
      <c r="B35" t="s">
        <v>138</v>
      </c>
      <c r="C35" t="s">
        <v>151</v>
      </c>
      <c r="D35">
        <v>10</v>
      </c>
      <c r="E35">
        <v>15</v>
      </c>
      <c r="F35">
        <v>8</v>
      </c>
      <c r="G35">
        <f t="shared" si="8"/>
        <v>150</v>
      </c>
      <c r="H35" s="66">
        <v>162</v>
      </c>
      <c r="I35" s="96">
        <f t="shared" si="5"/>
        <v>1.08</v>
      </c>
      <c r="J35">
        <f t="shared" si="4"/>
        <v>7</v>
      </c>
      <c r="K35" s="96">
        <f t="shared" si="6"/>
        <v>23.142857142857142</v>
      </c>
      <c r="L35" s="97" t="s">
        <v>157</v>
      </c>
      <c r="W35" t="b">
        <f t="shared" si="7"/>
        <v>0</v>
      </c>
    </row>
    <row r="36" spans="1:23">
      <c r="A36" t="s">
        <v>28</v>
      </c>
      <c r="B36" t="s">
        <v>138</v>
      </c>
      <c r="C36" t="s">
        <v>151</v>
      </c>
      <c r="D36">
        <v>10</v>
      </c>
      <c r="E36">
        <v>25</v>
      </c>
      <c r="F36">
        <v>8</v>
      </c>
      <c r="G36">
        <f t="shared" si="8"/>
        <v>250</v>
      </c>
      <c r="H36" s="66">
        <v>209</v>
      </c>
      <c r="I36" s="96">
        <f t="shared" si="5"/>
        <v>0.83599999999999997</v>
      </c>
      <c r="J36">
        <f t="shared" si="4"/>
        <v>12</v>
      </c>
      <c r="K36" s="96">
        <f t="shared" si="6"/>
        <v>17.416666666666668</v>
      </c>
      <c r="L36" s="97" t="s">
        <v>157</v>
      </c>
      <c r="W36" t="b">
        <f t="shared" si="7"/>
        <v>0</v>
      </c>
    </row>
    <row r="37" spans="1:23">
      <c r="A37" t="s">
        <v>28</v>
      </c>
      <c r="B37" t="s">
        <v>153</v>
      </c>
      <c r="C37" t="s">
        <v>151</v>
      </c>
      <c r="D37">
        <v>10</v>
      </c>
      <c r="E37">
        <v>30</v>
      </c>
      <c r="F37">
        <v>8</v>
      </c>
      <c r="G37">
        <f t="shared" si="8"/>
        <v>300</v>
      </c>
      <c r="H37" s="66">
        <v>741</v>
      </c>
      <c r="I37" s="96">
        <f t="shared" si="5"/>
        <v>2.4700000000000002</v>
      </c>
      <c r="J37">
        <f t="shared" si="4"/>
        <v>14</v>
      </c>
      <c r="K37" s="96">
        <f t="shared" si="6"/>
        <v>52.928571428571431</v>
      </c>
      <c r="L37" s="97" t="s">
        <v>158</v>
      </c>
      <c r="W37" t="b">
        <f t="shared" si="7"/>
        <v>0</v>
      </c>
    </row>
    <row r="38" spans="1:23">
      <c r="A38" t="s">
        <v>28</v>
      </c>
      <c r="B38" t="s">
        <v>153</v>
      </c>
      <c r="C38" t="s">
        <v>151</v>
      </c>
      <c r="D38">
        <v>10</v>
      </c>
      <c r="E38">
        <v>25</v>
      </c>
      <c r="F38">
        <v>8</v>
      </c>
      <c r="G38">
        <f t="shared" si="8"/>
        <v>250</v>
      </c>
      <c r="H38" s="66">
        <v>571.5</v>
      </c>
      <c r="I38" s="96">
        <f t="shared" si="5"/>
        <v>2.286</v>
      </c>
      <c r="J38">
        <f t="shared" si="4"/>
        <v>12</v>
      </c>
      <c r="K38" s="96">
        <f t="shared" si="6"/>
        <v>47.625</v>
      </c>
      <c r="L38" s="97" t="s">
        <v>158</v>
      </c>
      <c r="W38" t="b">
        <f t="shared" si="7"/>
        <v>0</v>
      </c>
    </row>
    <row r="39" spans="1:23">
      <c r="A39" t="s">
        <v>28</v>
      </c>
      <c r="B39" t="s">
        <v>153</v>
      </c>
      <c r="C39" t="s">
        <v>151</v>
      </c>
      <c r="D39">
        <v>20</v>
      </c>
      <c r="E39">
        <v>10</v>
      </c>
      <c r="F39">
        <v>8</v>
      </c>
      <c r="G39">
        <f t="shared" si="8"/>
        <v>200</v>
      </c>
      <c r="H39" s="66">
        <v>330</v>
      </c>
      <c r="I39" s="96">
        <f t="shared" si="5"/>
        <v>1.65</v>
      </c>
      <c r="J39">
        <f t="shared" si="4"/>
        <v>9</v>
      </c>
      <c r="K39" s="96">
        <f t="shared" si="6"/>
        <v>36.666666666666664</v>
      </c>
      <c r="L39" s="97" t="s">
        <v>158</v>
      </c>
      <c r="W39" t="b">
        <f t="shared" si="7"/>
        <v>0</v>
      </c>
    </row>
  </sheetData>
  <mergeCells count="2">
    <mergeCell ref="M1:V1"/>
    <mergeCell ref="K3:K7"/>
  </mergeCells>
  <hyperlinks>
    <hyperlink ref="L22" r:id="rId1" xr:uid="{D353442C-FEF8-4837-866F-DCFE546180FA}"/>
    <hyperlink ref="L23" r:id="rId2" xr:uid="{463EA5B8-62D6-4638-AB3D-380A53E9D9DF}"/>
    <hyperlink ref="L26" r:id="rId3" xr:uid="{9D4D3B07-E44D-46C9-A085-E1655A5D32D0}"/>
    <hyperlink ref="L27" r:id="rId4" xr:uid="{969C8920-18B7-4DDC-8810-42CB4F78B3C8}"/>
    <hyperlink ref="L29" r:id="rId5" xr:uid="{A3B9F91E-2732-42D6-8144-11317B1101E1}"/>
    <hyperlink ref="L30:L31" r:id="rId6" display="https://www.publicstorage.com/self-storage-tx-san-antonio/620?sp=620|9|San%20Antonio|29.42412|-98.49363|0|1|1" xr:uid="{C1D23789-64F0-4912-A977-D2ACB968B5DF}"/>
    <hyperlink ref="L28" r:id="rId7" xr:uid="{8F691518-5EE2-4532-B949-6E70283B8547}"/>
    <hyperlink ref="L24:L25" r:id="rId8" display="https://www.cubesmart.com/texas-self-storage/san-antonio-self-storage/climate-controlled/4225.html" xr:uid="{D3D5F07A-2352-4D5C-8703-F702C6DF66BA}"/>
    <hyperlink ref="L32" r:id="rId9" xr:uid="{98976E2D-03B4-4605-8473-152E8A33F4C4}"/>
    <hyperlink ref="L33" r:id="rId10" xr:uid="{343F8D23-D8F2-4285-B7CE-9E2FEE5B9D6D}"/>
    <hyperlink ref="L34" r:id="rId11" xr:uid="{43CC1AEB-F859-4514-9DB0-5615049068CC}"/>
    <hyperlink ref="L36" r:id="rId12" xr:uid="{38864C81-7780-4E0E-BB84-3C35FC0EEA28}"/>
    <hyperlink ref="L35" r:id="rId13" xr:uid="{AA27CB6F-B6FA-4C63-A8D5-60098EC3CCA1}"/>
    <hyperlink ref="L37" r:id="rId14" xr:uid="{DEC12679-AC28-4B42-BC3C-B0BE0E8FBA75}"/>
    <hyperlink ref="L38" r:id="rId15" xr:uid="{BBE00617-A760-4BE1-8866-63A516F29150}"/>
    <hyperlink ref="L39" r:id="rId16" xr:uid="{79E31703-596C-4339-A8B7-CEEBD339CC57}"/>
  </hyperlinks>
  <pageMargins left="0.7" right="0.7" top="0.75" bottom="0.75" header="0.3" footer="0.3"/>
  <legacyDrawing r:id="rId1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4391-0901-4026-9678-D53CE546B651}">
  <sheetPr codeName="Sheet14"/>
  <dimension ref="A1:X34"/>
  <sheetViews>
    <sheetView showGridLines="0" workbookViewId="0">
      <selection activeCell="G33" sqref="G33"/>
    </sheetView>
  </sheetViews>
  <sheetFormatPr defaultColWidth="9.140625" defaultRowHeight="14.25"/>
  <cols>
    <col min="1" max="1" width="19.85546875" style="30" customWidth="1"/>
    <col min="2" max="4" width="9.140625" style="30"/>
    <col min="5" max="5" width="2.85546875" style="30" customWidth="1"/>
    <col min="6" max="6" width="36.140625" style="30" customWidth="1"/>
    <col min="7" max="7" width="14" style="30" bestFit="1" customWidth="1"/>
    <col min="8" max="18" width="10.5703125" style="30" customWidth="1"/>
    <col min="19" max="23" width="12.28515625" style="30" bestFit="1" customWidth="1"/>
    <col min="24" max="24" width="10.5703125" style="30" customWidth="1"/>
    <col min="25" max="16384" width="9.140625" style="30"/>
  </cols>
  <sheetData>
    <row r="1" spans="1:24" s="3" customFormat="1" ht="32.25">
      <c r="A1" s="1"/>
      <c r="B1" s="2"/>
      <c r="C1" s="2"/>
      <c r="D1" s="30"/>
      <c r="E1" s="1" t="s">
        <v>246</v>
      </c>
      <c r="F1" s="2"/>
      <c r="G1" s="2"/>
      <c r="H1" s="2"/>
      <c r="I1" s="2"/>
      <c r="J1" s="2"/>
      <c r="K1" s="2"/>
      <c r="L1" s="2"/>
      <c r="M1" s="2"/>
      <c r="N1" s="2"/>
      <c r="O1" s="2"/>
      <c r="P1" s="2"/>
      <c r="Q1" s="2"/>
      <c r="R1" s="2"/>
      <c r="S1" s="2"/>
      <c r="T1" s="2"/>
      <c r="U1" s="2"/>
      <c r="V1" s="2"/>
      <c r="W1" s="2"/>
      <c r="X1" s="2"/>
    </row>
    <row r="2" spans="1:24" s="3" customFormat="1" ht="26.25">
      <c r="A2" s="27" t="s">
        <v>15</v>
      </c>
      <c r="B2" s="2"/>
      <c r="C2" s="2"/>
      <c r="D2" s="30"/>
      <c r="E2" s="4"/>
      <c r="F2" s="2"/>
      <c r="G2" s="559" t="s">
        <v>332</v>
      </c>
      <c r="H2" s="559"/>
      <c r="I2" s="559" t="s">
        <v>333</v>
      </c>
      <c r="J2" s="559"/>
      <c r="K2" s="559"/>
      <c r="L2" s="559"/>
      <c r="M2" s="559"/>
      <c r="N2" s="559"/>
      <c r="O2" s="559"/>
      <c r="P2" s="559"/>
      <c r="Q2" s="559"/>
      <c r="R2" s="559"/>
      <c r="S2" s="559"/>
      <c r="T2" s="559"/>
      <c r="U2" s="559"/>
      <c r="V2" s="559"/>
      <c r="W2" s="559"/>
      <c r="X2" s="2"/>
    </row>
    <row r="3" spans="1:24" ht="24" thickBot="1">
      <c r="A3" s="46" t="s">
        <v>254</v>
      </c>
      <c r="B3" s="32"/>
      <c r="C3" s="32"/>
      <c r="E3" s="212"/>
      <c r="F3" s="29"/>
      <c r="G3" s="29"/>
      <c r="H3" s="29"/>
      <c r="I3" s="29"/>
      <c r="J3" s="29"/>
      <c r="K3" s="29"/>
      <c r="L3" s="29"/>
      <c r="M3" s="29"/>
      <c r="N3" s="29"/>
      <c r="O3" s="29"/>
      <c r="P3" s="29"/>
      <c r="Q3" s="29"/>
      <c r="R3" s="29"/>
      <c r="S3" s="29"/>
      <c r="T3" s="29"/>
      <c r="U3" s="29"/>
      <c r="V3" s="29"/>
      <c r="W3" s="29"/>
      <c r="X3" s="29"/>
    </row>
    <row r="4" spans="1:24" ht="15.75">
      <c r="A4" s="236" t="s">
        <v>252</v>
      </c>
      <c r="B4"/>
      <c r="C4" s="113" t="s">
        <v>253</v>
      </c>
      <c r="E4" s="29"/>
      <c r="F4" s="226" t="s">
        <v>334</v>
      </c>
      <c r="G4" s="225" t="s">
        <v>329</v>
      </c>
      <c r="H4" s="225" t="s">
        <v>329</v>
      </c>
      <c r="I4" s="225">
        <v>1</v>
      </c>
      <c r="J4" s="225">
        <v>2</v>
      </c>
      <c r="K4" s="225">
        <v>3</v>
      </c>
      <c r="L4" s="225">
        <v>4</v>
      </c>
      <c r="M4" s="225">
        <v>5</v>
      </c>
      <c r="N4" s="225">
        <v>6</v>
      </c>
      <c r="O4" s="225">
        <v>7</v>
      </c>
      <c r="P4" s="225">
        <v>8</v>
      </c>
      <c r="Q4" s="225">
        <v>9</v>
      </c>
      <c r="R4" s="225">
        <v>10</v>
      </c>
      <c r="S4" s="225">
        <v>11</v>
      </c>
      <c r="T4" s="225">
        <v>12</v>
      </c>
      <c r="U4" s="225">
        <v>13</v>
      </c>
      <c r="V4" s="225">
        <v>14</v>
      </c>
      <c r="W4" s="225">
        <v>15</v>
      </c>
      <c r="X4" s="225"/>
    </row>
    <row r="5" spans="1:24" ht="15.75" thickBot="1">
      <c r="A5" s="29" t="s">
        <v>255</v>
      </c>
      <c r="B5"/>
      <c r="C5" s="117">
        <v>15</v>
      </c>
      <c r="E5" s="29"/>
      <c r="F5" s="32"/>
      <c r="G5" s="251">
        <v>2020</v>
      </c>
      <c r="H5" s="251">
        <v>2021</v>
      </c>
      <c r="I5" s="251">
        <v>2022</v>
      </c>
      <c r="J5" s="251">
        <v>2023</v>
      </c>
      <c r="K5" s="251">
        <v>2024</v>
      </c>
      <c r="L5" s="251">
        <v>2025</v>
      </c>
      <c r="M5" s="251">
        <v>2026</v>
      </c>
      <c r="N5" s="251">
        <v>2027</v>
      </c>
      <c r="O5" s="251">
        <v>2028</v>
      </c>
      <c r="P5" s="251">
        <v>2029</v>
      </c>
      <c r="Q5" s="251">
        <v>2030</v>
      </c>
      <c r="R5" s="251">
        <v>2031</v>
      </c>
      <c r="S5" s="251">
        <v>2032</v>
      </c>
      <c r="T5" s="251">
        <v>2033</v>
      </c>
      <c r="U5" s="251">
        <v>2034</v>
      </c>
      <c r="V5" s="251">
        <v>2035</v>
      </c>
      <c r="W5" s="251">
        <v>2036</v>
      </c>
      <c r="X5" s="251">
        <v>2037</v>
      </c>
    </row>
    <row r="6" spans="1:24" ht="15">
      <c r="A6" s="29" t="s">
        <v>256</v>
      </c>
      <c r="B6"/>
      <c r="C6" s="117">
        <v>0</v>
      </c>
      <c r="E6" s="29"/>
      <c r="F6" s="29"/>
      <c r="G6" s="228"/>
      <c r="H6" s="228"/>
      <c r="I6" s="228"/>
      <c r="J6" s="228"/>
      <c r="K6" s="228"/>
      <c r="L6" s="29"/>
      <c r="M6" s="29"/>
      <c r="N6" s="29"/>
      <c r="O6" s="29"/>
      <c r="P6" s="29"/>
      <c r="Q6" s="29"/>
      <c r="R6" s="29"/>
      <c r="S6" s="29"/>
      <c r="T6" s="29"/>
      <c r="U6" s="29"/>
      <c r="V6" s="29"/>
      <c r="W6" s="29"/>
      <c r="X6" s="29"/>
    </row>
    <row r="7" spans="1:24" ht="15">
      <c r="A7" s="29"/>
      <c r="B7"/>
      <c r="C7" s="118"/>
      <c r="E7" s="29"/>
      <c r="F7" s="29" t="s">
        <v>243</v>
      </c>
      <c r="G7" s="228"/>
      <c r="H7" s="228"/>
      <c r="I7" s="228"/>
      <c r="J7" s="228"/>
      <c r="K7" s="228"/>
      <c r="L7" s="29"/>
      <c r="M7" s="29"/>
      <c r="N7" s="29"/>
      <c r="O7" s="29"/>
      <c r="P7" s="29"/>
      <c r="Q7" s="29"/>
      <c r="R7" s="29"/>
      <c r="S7" s="29"/>
      <c r="T7" s="29"/>
      <c r="U7" s="29"/>
      <c r="V7" s="29"/>
      <c r="W7" s="29"/>
      <c r="X7" s="29"/>
    </row>
    <row r="8" spans="1:24" ht="15">
      <c r="A8" s="29"/>
      <c r="B8"/>
      <c r="C8" s="113"/>
      <c r="E8" s="29"/>
      <c r="F8" s="213" t="s">
        <v>247</v>
      </c>
      <c r="G8" s="252">
        <v>97304053.079999998</v>
      </c>
      <c r="H8" s="229"/>
      <c r="I8" s="229"/>
      <c r="J8" s="230"/>
      <c r="K8" s="231"/>
      <c r="L8" s="214"/>
      <c r="M8" s="214"/>
      <c r="N8" s="214"/>
      <c r="O8" s="214"/>
      <c r="P8" s="214"/>
      <c r="Q8" s="214"/>
      <c r="R8" s="214"/>
      <c r="S8" s="214"/>
      <c r="T8" s="214"/>
      <c r="U8" s="214"/>
      <c r="V8" s="214"/>
      <c r="W8" s="214"/>
      <c r="X8" s="214"/>
    </row>
    <row r="9" spans="1:24">
      <c r="A9" s="29"/>
      <c r="B9" s="29"/>
      <c r="C9" s="118"/>
      <c r="E9" s="29"/>
      <c r="F9" s="213" t="s">
        <v>330</v>
      </c>
      <c r="G9" s="252">
        <v>143060.5</v>
      </c>
      <c r="H9" s="229"/>
      <c r="I9" s="229"/>
      <c r="J9" s="230"/>
      <c r="K9" s="231"/>
      <c r="L9" s="214"/>
      <c r="M9" s="214"/>
      <c r="N9" s="214"/>
      <c r="O9" s="214"/>
      <c r="P9" s="214"/>
      <c r="Q9" s="214"/>
      <c r="R9" s="214"/>
      <c r="S9" s="214"/>
      <c r="T9" s="214"/>
      <c r="U9" s="214"/>
      <c r="V9" s="214"/>
      <c r="W9" s="214"/>
      <c r="X9" s="214"/>
    </row>
    <row r="10" spans="1:24" ht="15">
      <c r="A10" s="29"/>
      <c r="B10"/>
      <c r="C10" s="117"/>
      <c r="E10" s="29"/>
      <c r="F10" s="213" t="s">
        <v>331</v>
      </c>
      <c r="G10" s="252">
        <v>78149899.849999979</v>
      </c>
      <c r="H10" s="229"/>
      <c r="I10" s="229">
        <f ca="1">-'Master Tab'!$F$11*(1+$C$14)^I$4</f>
        <v>269207.32790672575</v>
      </c>
      <c r="J10" s="229">
        <f ca="1">-'Master Tab'!$F$11*(1+$C$14)^J$4</f>
        <v>279975.6210229948</v>
      </c>
      <c r="K10" s="229">
        <f ca="1">-'Master Tab'!$F$11*(1+$C$14)^K$4</f>
        <v>291174.64586391463</v>
      </c>
      <c r="L10" s="229">
        <f ca="1">-'Master Tab'!$F$11*(1+$C$14)^L$4</f>
        <v>302821.6316984712</v>
      </c>
      <c r="M10" s="229">
        <f ca="1">-'Master Tab'!$F$11*(1+$C$14)^M$4</f>
        <v>314934.49696641014</v>
      </c>
      <c r="N10" s="229">
        <f ca="1">-'Master Tab'!$F$11*(1+$C$14)^N$4</f>
        <v>327531.87684506649</v>
      </c>
      <c r="O10" s="229">
        <f ca="1">-'Master Tab'!$F$11*(1+$C$14)^O$4</f>
        <v>340633.15191886917</v>
      </c>
      <c r="P10" s="229">
        <f ca="1">-'Master Tab'!$F$11*(1+$C$14)^P$4</f>
        <v>354258.47799562395</v>
      </c>
      <c r="Q10" s="229">
        <f ca="1">-'Master Tab'!$F$11*(1+$C$14)^Q$4</f>
        <v>368428.81711544894</v>
      </c>
      <c r="R10" s="229">
        <f ca="1">-'Master Tab'!$F$11*(1+$C$14)^R$4</f>
        <v>383165.9698000669</v>
      </c>
      <c r="S10" s="229">
        <f ca="1">-'Master Tab'!$F$11*(1+$C$14)^S$4</f>
        <v>398492.60859206959</v>
      </c>
      <c r="T10" s="229">
        <f ca="1">-'Master Tab'!$F$11*(1+$C$14)^T$4</f>
        <v>414432.31293575244</v>
      </c>
      <c r="U10" s="229">
        <f ca="1">-'Master Tab'!$F$11*(1+$C$14)^U$4</f>
        <v>431009.60545318254</v>
      </c>
      <c r="V10" s="229">
        <f ca="1">-'Master Tab'!$F$11*(1+$C$14)^V$4</f>
        <v>448249.98967130983</v>
      </c>
      <c r="W10" s="229">
        <f ca="1">-'Master Tab'!$F$11*(1+$C$14)^W$4</f>
        <v>466179.98925816221</v>
      </c>
      <c r="X10" s="214"/>
    </row>
    <row r="11" spans="1:24" ht="15">
      <c r="A11" s="29"/>
      <c r="B11"/>
      <c r="C11" s="35"/>
      <c r="E11" s="29"/>
      <c r="F11" s="29" t="s">
        <v>8</v>
      </c>
      <c r="G11" s="215">
        <f>SUM(G8:G10)</f>
        <v>175597013.42999998</v>
      </c>
      <c r="H11" s="215">
        <f t="shared" ref="H11:W11" si="0">SUM(H8:H10)</f>
        <v>0</v>
      </c>
      <c r="I11" s="215">
        <f t="shared" ca="1" si="0"/>
        <v>269207.32790672575</v>
      </c>
      <c r="J11" s="215">
        <f t="shared" ca="1" si="0"/>
        <v>279975.6210229948</v>
      </c>
      <c r="K11" s="215">
        <f t="shared" ca="1" si="0"/>
        <v>291174.64586391463</v>
      </c>
      <c r="L11" s="215">
        <f t="shared" ca="1" si="0"/>
        <v>302821.6316984712</v>
      </c>
      <c r="M11" s="215">
        <f t="shared" ca="1" si="0"/>
        <v>314934.49696641014</v>
      </c>
      <c r="N11" s="215">
        <f t="shared" ca="1" si="0"/>
        <v>327531.87684506649</v>
      </c>
      <c r="O11" s="215">
        <f t="shared" ca="1" si="0"/>
        <v>340633.15191886917</v>
      </c>
      <c r="P11" s="215">
        <f t="shared" ca="1" si="0"/>
        <v>354258.47799562395</v>
      </c>
      <c r="Q11" s="215">
        <f t="shared" ca="1" si="0"/>
        <v>368428.81711544894</v>
      </c>
      <c r="R11" s="215">
        <f t="shared" ca="1" si="0"/>
        <v>383165.9698000669</v>
      </c>
      <c r="S11" s="215">
        <f t="shared" ca="1" si="0"/>
        <v>398492.60859206959</v>
      </c>
      <c r="T11" s="215">
        <f t="shared" ca="1" si="0"/>
        <v>414432.31293575244</v>
      </c>
      <c r="U11" s="215">
        <f t="shared" ca="1" si="0"/>
        <v>431009.60545318254</v>
      </c>
      <c r="V11" s="215">
        <f t="shared" ca="1" si="0"/>
        <v>448249.98967130983</v>
      </c>
      <c r="W11" s="215">
        <f t="shared" ca="1" si="0"/>
        <v>466179.98925816221</v>
      </c>
      <c r="X11" s="215"/>
    </row>
    <row r="12" spans="1:24" ht="15.75" thickBot="1">
      <c r="A12" s="46" t="s">
        <v>257</v>
      </c>
      <c r="B12" s="32"/>
      <c r="C12" s="32"/>
      <c r="E12" s="29"/>
      <c r="F12" s="29"/>
      <c r="G12" s="229"/>
      <c r="H12" s="229"/>
      <c r="I12" s="229"/>
      <c r="J12" s="229"/>
      <c r="K12" s="229"/>
      <c r="L12" s="216"/>
      <c r="M12" s="216"/>
      <c r="N12" s="216"/>
      <c r="O12" s="216"/>
      <c r="P12" s="216"/>
      <c r="Q12" s="216"/>
      <c r="R12" s="216"/>
      <c r="S12" s="216"/>
      <c r="T12" s="216"/>
      <c r="U12" s="216"/>
      <c r="V12" s="216"/>
      <c r="W12" s="216"/>
      <c r="X12" s="216"/>
    </row>
    <row r="13" spans="1:24" ht="15">
      <c r="A13" s="46"/>
      <c r="B13"/>
      <c r="C13" s="113"/>
      <c r="E13" s="29"/>
      <c r="F13" s="29" t="s">
        <v>248</v>
      </c>
      <c r="G13" s="229"/>
      <c r="H13" s="229"/>
      <c r="I13" s="230"/>
      <c r="J13" s="230"/>
      <c r="K13" s="229"/>
      <c r="L13" s="216"/>
      <c r="M13" s="216"/>
      <c r="N13" s="216"/>
      <c r="O13" s="216"/>
      <c r="P13" s="216"/>
      <c r="Q13" s="216"/>
      <c r="R13" s="216"/>
      <c r="S13" s="216"/>
      <c r="T13" s="216"/>
      <c r="U13" s="216"/>
      <c r="V13" s="216"/>
      <c r="W13" s="216"/>
      <c r="X13" s="216"/>
    </row>
    <row r="14" spans="1:24" ht="15">
      <c r="A14" s="29" t="s">
        <v>258</v>
      </c>
      <c r="B14"/>
      <c r="C14" s="235">
        <v>0.04</v>
      </c>
      <c r="E14" s="29"/>
      <c r="F14" s="213" t="s">
        <v>330</v>
      </c>
      <c r="G14" s="229"/>
      <c r="H14" s="229"/>
      <c r="I14" s="229">
        <f ca="1">'Master Tab'!$I$21*(1+$C$14)^I$4</f>
        <v>310859.38196629094</v>
      </c>
      <c r="J14" s="229">
        <f ca="1">'Master Tab'!$I$21*(1+$C$14)^J$4</f>
        <v>323293.75724494259</v>
      </c>
      <c r="K14" s="229">
        <f ca="1">'Master Tab'!$I$21*(1+$C$14)^K$4</f>
        <v>336225.50753474026</v>
      </c>
      <c r="L14" s="229">
        <f ca="1">'Master Tab'!$I$21*(1+$C$14)^L$4</f>
        <v>349674.52783612994</v>
      </c>
      <c r="M14" s="229">
        <f ca="1">'Master Tab'!$I$21*(1+$C$14)^M$4</f>
        <v>363661.50894957513</v>
      </c>
      <c r="N14" s="229">
        <f ca="1">'Master Tab'!$I$21*(1+$C$14)^N$4</f>
        <v>378207.96930755815</v>
      </c>
      <c r="O14" s="229">
        <f ca="1">'Master Tab'!$I$21*(1+$C$14)^O$4</f>
        <v>393336.28807986045</v>
      </c>
      <c r="P14" s="229">
        <f ca="1">'Master Tab'!$I$21*(1+$C$14)^P$4</f>
        <v>409069.73960305494</v>
      </c>
      <c r="Q14" s="229">
        <f ca="1">'Master Tab'!$I$21*(1+$C$14)^Q$4</f>
        <v>425432.52918717719</v>
      </c>
      <c r="R14" s="229">
        <f ca="1">'Master Tab'!$I$21*(1+$C$14)^R$4</f>
        <v>442449.83035466424</v>
      </c>
      <c r="S14" s="229">
        <f ca="1">'Master Tab'!$I$21*(1+$C$14)^S$4</f>
        <v>460147.82356885081</v>
      </c>
      <c r="T14" s="229">
        <f ca="1">'Master Tab'!$I$21*(1+$C$14)^T$4</f>
        <v>478553.73651160492</v>
      </c>
      <c r="U14" s="229">
        <f ca="1">'Master Tab'!$I$21*(1+$C$14)^U$4</f>
        <v>497695.88597206917</v>
      </c>
      <c r="V14" s="229">
        <f ca="1">'Master Tab'!$I$21*(1+$C$14)^V$4</f>
        <v>517603.72141095193</v>
      </c>
      <c r="W14" s="229">
        <f ca="1">'Master Tab'!$I$21*(1+$C$14)^W$4</f>
        <v>538307.87026738992</v>
      </c>
      <c r="X14" s="216"/>
    </row>
    <row r="15" spans="1:24" ht="15">
      <c r="A15" s="29" t="s">
        <v>259</v>
      </c>
      <c r="B15"/>
      <c r="C15" s="235">
        <v>0.04</v>
      </c>
      <c r="E15" s="29"/>
      <c r="F15" s="213" t="s">
        <v>260</v>
      </c>
      <c r="G15" s="229"/>
      <c r="H15" s="229"/>
      <c r="I15" s="229">
        <f>'Master Tab'!$F$8*(1+$C$16)^I4</f>
        <v>41200</v>
      </c>
      <c r="J15" s="229">
        <f>'Master Tab'!$F$8*(1+$C$16)^J4</f>
        <v>42436</v>
      </c>
      <c r="K15" s="229">
        <f>'Master Tab'!$F$8*(1+$C$16)^K4</f>
        <v>43709.08</v>
      </c>
      <c r="L15" s="229">
        <f>'Master Tab'!$F$8*(1+$C$16)^L4</f>
        <v>45020.352399999996</v>
      </c>
      <c r="M15" s="229">
        <f>'Master Tab'!$F$8*(1+$C$16)^M4</f>
        <v>46370.962971999994</v>
      </c>
      <c r="N15" s="229">
        <f>'Master Tab'!$F$8*(1+$C$16)^N4</f>
        <v>47762.091861159999</v>
      </c>
      <c r="O15" s="229">
        <f>'Master Tab'!$F$8*(1+$C$16)^O4</f>
        <v>49194.954616994801</v>
      </c>
      <c r="P15" s="229">
        <f>'Master Tab'!$F$8*(1+$C$16)^P4</f>
        <v>50670.803255504637</v>
      </c>
      <c r="Q15" s="229">
        <f>'Master Tab'!$F$8*(1+$C$16)^Q4</f>
        <v>52190.927353169776</v>
      </c>
      <c r="R15" s="229">
        <f>'Master Tab'!$F$8*(1+$C$16)^R4</f>
        <v>53756.65517376487</v>
      </c>
      <c r="S15" s="229">
        <f>'Master Tab'!$F$8*(1+$C$16)^S4</f>
        <v>55369.354828977819</v>
      </c>
      <c r="T15" s="229">
        <f>'Master Tab'!$F$8*(1+$C$16)^T4</f>
        <v>57030.435473847145</v>
      </c>
      <c r="U15" s="229">
        <f>'Master Tab'!$F$8*(1+$C$16)^U4</f>
        <v>58741.348538062557</v>
      </c>
      <c r="V15" s="229">
        <f>'Master Tab'!$F$8*(1+$C$16)^V4</f>
        <v>60503.588994204438</v>
      </c>
      <c r="W15" s="229">
        <f>'Master Tab'!$F$8*(1+$C$16)^W4</f>
        <v>62318.696664030576</v>
      </c>
      <c r="X15" s="216"/>
    </row>
    <row r="16" spans="1:24" ht="15">
      <c r="A16" s="29" t="s">
        <v>261</v>
      </c>
      <c r="B16"/>
      <c r="C16" s="235">
        <v>0.03</v>
      </c>
      <c r="E16" s="29"/>
      <c r="F16" s="213" t="s">
        <v>335</v>
      </c>
      <c r="G16" s="229"/>
      <c r="H16" s="229"/>
      <c r="I16" s="229">
        <f ca="1">'Master Tab'!$F$9*(1+$C$15)^I4</f>
        <v>196560</v>
      </c>
      <c r="J16" s="229">
        <f ca="1">'Master Tab'!$F$9*(1+$C$15)^J4</f>
        <v>204422.40000000002</v>
      </c>
      <c r="K16" s="229">
        <f ca="1">'Master Tab'!$F$9*(1+$C$15)^K4</f>
        <v>212599.296</v>
      </c>
      <c r="L16" s="229">
        <f ca="1">'Master Tab'!$F$9*(1+$C$15)^L4</f>
        <v>221103.26784000004</v>
      </c>
      <c r="M16" s="229">
        <f ca="1">'Master Tab'!$F$9*(1+$C$15)^M4</f>
        <v>229947.39855360007</v>
      </c>
      <c r="N16" s="229">
        <f ca="1">'Master Tab'!$F$9*(1+$C$15)^N4</f>
        <v>239145.29449574408</v>
      </c>
      <c r="O16" s="229">
        <f ca="1">'Master Tab'!$F$9*(1+$C$15)^O4</f>
        <v>248711.10627557381</v>
      </c>
      <c r="P16" s="229">
        <f ca="1">'Master Tab'!$F$9*(1+$C$15)^P4</f>
        <v>258659.55052659681</v>
      </c>
      <c r="Q16" s="229">
        <f ca="1">'Master Tab'!$F$9*(1+$C$15)^Q4</f>
        <v>269005.93254766072</v>
      </c>
      <c r="R16" s="229">
        <f ca="1">'Master Tab'!$F$9*(1+$C$15)^R4</f>
        <v>279766.16984956712</v>
      </c>
      <c r="S16" s="229">
        <f ca="1">'Master Tab'!$F$9*(1+$C$15)^S4</f>
        <v>290956.81664354977</v>
      </c>
      <c r="T16" s="229">
        <f ca="1">'Master Tab'!$F$9*(1+$C$15)^T4</f>
        <v>302595.08930929186</v>
      </c>
      <c r="U16" s="229">
        <f ca="1">'Master Tab'!$F$9*(1+$C$15)^U4</f>
        <v>314698.89288166352</v>
      </c>
      <c r="V16" s="229">
        <f ca="1">'Master Tab'!$F$9*(1+$C$15)^V4</f>
        <v>327286.8485969301</v>
      </c>
      <c r="W16" s="229">
        <f ca="1">'Master Tab'!$F$9*(1+$C$15)^W4</f>
        <v>340378.32254080725</v>
      </c>
      <c r="X16" s="216"/>
    </row>
    <row r="17" spans="1:24" ht="15">
      <c r="A17" s="29"/>
      <c r="B17"/>
      <c r="C17" s="64"/>
      <c r="E17" s="29"/>
      <c r="F17" s="213"/>
      <c r="G17" s="229"/>
      <c r="H17" s="229"/>
      <c r="I17" s="229"/>
      <c r="J17" s="229"/>
      <c r="K17" s="229"/>
      <c r="L17" s="229"/>
      <c r="M17" s="229"/>
      <c r="N17" s="229"/>
      <c r="O17" s="229"/>
      <c r="P17" s="229"/>
      <c r="Q17" s="229"/>
      <c r="R17" s="229"/>
      <c r="S17" s="229"/>
      <c r="T17" s="229"/>
      <c r="U17" s="229"/>
      <c r="V17" s="229"/>
      <c r="W17" s="229"/>
      <c r="X17" s="216"/>
    </row>
    <row r="18" spans="1:24" ht="15">
      <c r="A18" s="29"/>
      <c r="B18"/>
      <c r="C18" s="35"/>
      <c r="E18" s="29"/>
      <c r="F18" s="213"/>
      <c r="G18" s="229"/>
      <c r="H18" s="229"/>
      <c r="I18" s="229"/>
      <c r="J18" s="229"/>
      <c r="K18" s="229"/>
      <c r="L18" s="229"/>
      <c r="M18" s="229"/>
      <c r="N18" s="229"/>
      <c r="O18" s="229"/>
      <c r="P18" s="229"/>
      <c r="Q18" s="229"/>
      <c r="R18" s="229"/>
      <c r="S18" s="229"/>
      <c r="T18" s="229"/>
      <c r="U18" s="229"/>
      <c r="V18" s="229"/>
      <c r="W18" s="229"/>
      <c r="X18" s="216"/>
    </row>
    <row r="19" spans="1:24" ht="15.75" thickBot="1">
      <c r="A19" s="46"/>
      <c r="B19" s="32"/>
      <c r="C19" s="32"/>
      <c r="E19" s="29"/>
      <c r="F19" s="29" t="s">
        <v>8</v>
      </c>
      <c r="G19" s="229"/>
      <c r="H19" s="229"/>
      <c r="I19" s="230">
        <f t="shared" ref="I19:W19" ca="1" si="1">SUM(I14:I16)</f>
        <v>548619.381966291</v>
      </c>
      <c r="J19" s="230">
        <f t="shared" ca="1" si="1"/>
        <v>570152.15724494262</v>
      </c>
      <c r="K19" s="229">
        <f t="shared" ca="1" si="1"/>
        <v>592533.88353474031</v>
      </c>
      <c r="L19" s="216">
        <f t="shared" ca="1" si="1"/>
        <v>615798.14807612996</v>
      </c>
      <c r="M19" s="216">
        <f t="shared" ca="1" si="1"/>
        <v>639979.87047517521</v>
      </c>
      <c r="N19" s="216">
        <f t="shared" ca="1" si="1"/>
        <v>665115.3556644622</v>
      </c>
      <c r="O19" s="216">
        <f t="shared" ca="1" si="1"/>
        <v>691242.34897242906</v>
      </c>
      <c r="P19" s="216">
        <f t="shared" ca="1" si="1"/>
        <v>718400.09338515636</v>
      </c>
      <c r="Q19" s="216">
        <f t="shared" ca="1" si="1"/>
        <v>746629.38908800762</v>
      </c>
      <c r="R19" s="216">
        <f t="shared" ca="1" si="1"/>
        <v>775972.65537799615</v>
      </c>
      <c r="S19" s="216">
        <f t="shared" ca="1" si="1"/>
        <v>806473.99504137842</v>
      </c>
      <c r="T19" s="216">
        <f t="shared" ca="1" si="1"/>
        <v>838179.26129474398</v>
      </c>
      <c r="U19" s="216">
        <f t="shared" ca="1" si="1"/>
        <v>871136.12739179528</v>
      </c>
      <c r="V19" s="216">
        <f t="shared" ca="1" si="1"/>
        <v>905394.15900208638</v>
      </c>
      <c r="W19" s="216">
        <f t="shared" ca="1" si="1"/>
        <v>941004.88947222778</v>
      </c>
      <c r="X19" s="216"/>
    </row>
    <row r="20" spans="1:24" ht="15">
      <c r="A20" s="46"/>
      <c r="B20"/>
      <c r="C20" s="113"/>
      <c r="E20" s="29"/>
      <c r="F20" s="217" t="s">
        <v>244</v>
      </c>
      <c r="G20" s="232"/>
      <c r="H20" s="232"/>
      <c r="I20" s="232">
        <f t="shared" ref="I20:W20" ca="1" si="2">I11-I19</f>
        <v>-279412.05405956524</v>
      </c>
      <c r="J20" s="232">
        <f t="shared" ca="1" si="2"/>
        <v>-290176.53622194781</v>
      </c>
      <c r="K20" s="232">
        <f t="shared" ca="1" si="2"/>
        <v>-301359.23767082568</v>
      </c>
      <c r="L20" s="218">
        <f t="shared" ca="1" si="2"/>
        <v>-312976.51637765876</v>
      </c>
      <c r="M20" s="218">
        <f t="shared" ca="1" si="2"/>
        <v>-325045.37350876507</v>
      </c>
      <c r="N20" s="218">
        <f t="shared" ca="1" si="2"/>
        <v>-337583.47881939571</v>
      </c>
      <c r="O20" s="218">
        <f t="shared" ca="1" si="2"/>
        <v>-350609.19705355988</v>
      </c>
      <c r="P20" s="218">
        <f t="shared" ca="1" si="2"/>
        <v>-364141.61538953241</v>
      </c>
      <c r="Q20" s="218">
        <f t="shared" ca="1" si="2"/>
        <v>-378200.57197255868</v>
      </c>
      <c r="R20" s="218">
        <f t="shared" ca="1" si="2"/>
        <v>-392806.68557792925</v>
      </c>
      <c r="S20" s="218">
        <f t="shared" ca="1" si="2"/>
        <v>-407981.38644930883</v>
      </c>
      <c r="T20" s="218">
        <f t="shared" ca="1" si="2"/>
        <v>-423746.94835899153</v>
      </c>
      <c r="U20" s="218">
        <f t="shared" ca="1" si="2"/>
        <v>-440126.52193861274</v>
      </c>
      <c r="V20" s="218">
        <f t="shared" ca="1" si="2"/>
        <v>-457144.16933077655</v>
      </c>
      <c r="W20" s="218">
        <f t="shared" ca="1" si="2"/>
        <v>-474824.90021406556</v>
      </c>
      <c r="X20" s="218"/>
    </row>
    <row r="21" spans="1:24" ht="15">
      <c r="A21" s="29"/>
      <c r="B21"/>
      <c r="C21" s="35"/>
      <c r="E21" s="29"/>
      <c r="F21" s="227"/>
      <c r="G21" s="233"/>
      <c r="H21" s="233"/>
      <c r="I21" s="233"/>
      <c r="J21" s="233"/>
      <c r="K21" s="233"/>
      <c r="L21" s="220"/>
      <c r="M21" s="220"/>
      <c r="N21" s="220"/>
      <c r="O21" s="220"/>
      <c r="P21" s="220"/>
      <c r="Q21" s="220"/>
      <c r="R21" s="220"/>
      <c r="S21" s="220"/>
      <c r="T21" s="220"/>
      <c r="U21" s="220"/>
      <c r="V21" s="220"/>
      <c r="W21" s="220"/>
      <c r="X21" s="220"/>
    </row>
    <row r="22" spans="1:24" ht="15">
      <c r="A22" s="29"/>
      <c r="B22"/>
      <c r="C22" s="64"/>
      <c r="E22" s="29"/>
      <c r="F22" s="219" t="s">
        <v>249</v>
      </c>
      <c r="G22" s="229"/>
      <c r="H22" s="229"/>
      <c r="I22" s="229">
        <f ca="1">'Master Tab'!$F$7</f>
        <v>6286.7401334453789</v>
      </c>
      <c r="J22" s="229">
        <f ca="1">'Master Tab'!$F$7</f>
        <v>6286.7401334453789</v>
      </c>
      <c r="K22" s="229">
        <f ca="1">'Master Tab'!$F$7</f>
        <v>6286.7401334453789</v>
      </c>
      <c r="L22" s="229">
        <f ca="1">'Master Tab'!$F$7</f>
        <v>6286.7401334453789</v>
      </c>
      <c r="M22" s="229">
        <f ca="1">'Master Tab'!$F$7</f>
        <v>6286.7401334453789</v>
      </c>
      <c r="N22" s="229">
        <f ca="1">'Master Tab'!$F$7</f>
        <v>6286.7401334453789</v>
      </c>
      <c r="O22" s="229">
        <f ca="1">'Master Tab'!$F$7</f>
        <v>6286.7401334453789</v>
      </c>
      <c r="P22" s="229">
        <f ca="1">'Master Tab'!$F$7</f>
        <v>6286.7401334453789</v>
      </c>
      <c r="Q22" s="229">
        <f ca="1">'Master Tab'!$F$7</f>
        <v>6286.7401334453789</v>
      </c>
      <c r="R22" s="229">
        <f ca="1">'Master Tab'!$F$7</f>
        <v>6286.7401334453789</v>
      </c>
      <c r="S22" s="229">
        <f ca="1">'Master Tab'!$F$7</f>
        <v>6286.7401334453789</v>
      </c>
      <c r="T22" s="229">
        <f ca="1">'Master Tab'!$F$7</f>
        <v>6286.7401334453789</v>
      </c>
      <c r="U22" s="229">
        <f ca="1">'Master Tab'!$F$7</f>
        <v>6286.7401334453789</v>
      </c>
      <c r="V22" s="229">
        <f ca="1">'Master Tab'!$F$7</f>
        <v>6286.7401334453789</v>
      </c>
      <c r="W22" s="229">
        <f ca="1">'Master Tab'!$F$7</f>
        <v>6286.7401334453789</v>
      </c>
      <c r="X22" s="216"/>
    </row>
    <row r="23" spans="1:24" ht="15">
      <c r="A23" s="29"/>
      <c r="B23"/>
      <c r="C23" s="64"/>
      <c r="E23" s="29"/>
      <c r="F23" s="219"/>
      <c r="G23" s="229"/>
      <c r="H23" s="229"/>
      <c r="I23" s="230"/>
      <c r="J23" s="230"/>
      <c r="K23" s="229"/>
      <c r="L23" s="216"/>
      <c r="M23" s="216"/>
      <c r="N23" s="216"/>
      <c r="O23" s="216"/>
      <c r="P23" s="216"/>
      <c r="Q23" s="216"/>
      <c r="R23" s="216"/>
      <c r="S23" s="216"/>
      <c r="T23" s="216"/>
      <c r="U23" s="216"/>
      <c r="V23" s="216"/>
      <c r="W23" s="216"/>
      <c r="X23" s="216"/>
    </row>
    <row r="24" spans="1:24" ht="15">
      <c r="A24" s="29"/>
      <c r="B24"/>
      <c r="C24" s="35"/>
      <c r="E24" s="29"/>
      <c r="F24" s="221" t="s">
        <v>245</v>
      </c>
      <c r="G24" s="234"/>
      <c r="H24" s="234"/>
      <c r="I24" s="234">
        <f t="shared" ref="I24:W24" ca="1" si="3">I20-I22</f>
        <v>-285698.7941930106</v>
      </c>
      <c r="J24" s="234">
        <f t="shared" ca="1" si="3"/>
        <v>-296463.27635539317</v>
      </c>
      <c r="K24" s="234">
        <f t="shared" ca="1" si="3"/>
        <v>-307645.97780427104</v>
      </c>
      <c r="L24" s="234">
        <f t="shared" ca="1" si="3"/>
        <v>-319263.25651110412</v>
      </c>
      <c r="M24" s="234">
        <f t="shared" ca="1" si="3"/>
        <v>-331332.11364221043</v>
      </c>
      <c r="N24" s="234">
        <f t="shared" ca="1" si="3"/>
        <v>-343870.21895284107</v>
      </c>
      <c r="O24" s="234">
        <f t="shared" ca="1" si="3"/>
        <v>-356895.93718700524</v>
      </c>
      <c r="P24" s="234">
        <f t="shared" ca="1" si="3"/>
        <v>-370428.35552297777</v>
      </c>
      <c r="Q24" s="234">
        <f t="shared" ca="1" si="3"/>
        <v>-384487.31210600404</v>
      </c>
      <c r="R24" s="234">
        <f t="shared" ca="1" si="3"/>
        <v>-399093.42571137461</v>
      </c>
      <c r="S24" s="234">
        <f t="shared" ca="1" si="3"/>
        <v>-414268.12658275419</v>
      </c>
      <c r="T24" s="234">
        <f t="shared" ca="1" si="3"/>
        <v>-430033.68849243689</v>
      </c>
      <c r="U24" s="234">
        <f t="shared" ca="1" si="3"/>
        <v>-446413.2620720581</v>
      </c>
      <c r="V24" s="234">
        <f t="shared" ca="1" si="3"/>
        <v>-463430.90946422191</v>
      </c>
      <c r="W24" s="234">
        <f t="shared" ca="1" si="3"/>
        <v>-481111.64034751093</v>
      </c>
      <c r="X24" s="222"/>
    </row>
    <row r="25" spans="1:24" ht="15">
      <c r="A25" s="29"/>
      <c r="B25"/>
      <c r="C25"/>
      <c r="E25" s="29"/>
      <c r="F25" s="219"/>
      <c r="G25" s="229"/>
      <c r="H25" s="229"/>
      <c r="I25" s="229"/>
      <c r="J25" s="229"/>
      <c r="K25" s="229"/>
      <c r="L25" s="216"/>
      <c r="M25" s="216"/>
      <c r="N25" s="216"/>
      <c r="O25" s="216"/>
      <c r="P25" s="216"/>
      <c r="Q25" s="216"/>
      <c r="R25" s="216"/>
      <c r="S25" s="216"/>
      <c r="T25" s="216"/>
      <c r="U25" s="216"/>
      <c r="V25" s="216"/>
      <c r="W25" s="216"/>
      <c r="X25" s="216"/>
    </row>
    <row r="26" spans="1:24">
      <c r="E26" s="29"/>
      <c r="F26" s="219" t="s">
        <v>250</v>
      </c>
      <c r="G26" s="229"/>
      <c r="H26" s="229"/>
      <c r="I26" s="229">
        <f ca="1">('Master Tab'!$F$6-$C$6)/$C$5</f>
        <v>115192.20507692308</v>
      </c>
      <c r="J26" s="229">
        <f ca="1">('Master Tab'!$F$6-$C$6)/$C$5</f>
        <v>115192.20507692308</v>
      </c>
      <c r="K26" s="229">
        <f ca="1">('Master Tab'!$F$6-$C$6)/$C$5</f>
        <v>115192.20507692308</v>
      </c>
      <c r="L26" s="216">
        <f ca="1">('Master Tab'!$F$6-$C$6)/$C$5</f>
        <v>115192.20507692308</v>
      </c>
      <c r="M26" s="216">
        <f ca="1">('Master Tab'!$F$6-$C$6)/$C$5</f>
        <v>115192.20507692308</v>
      </c>
      <c r="N26" s="216">
        <f ca="1">('Master Tab'!$F$6-$C$6)/$C$5</f>
        <v>115192.20507692308</v>
      </c>
      <c r="O26" s="216">
        <f ca="1">('Master Tab'!$F$6-$C$6)/$C$5</f>
        <v>115192.20507692308</v>
      </c>
      <c r="P26" s="216">
        <f ca="1">('Master Tab'!$F$6-$C$6)/$C$5</f>
        <v>115192.20507692308</v>
      </c>
      <c r="Q26" s="216">
        <f ca="1">('Master Tab'!$F$6-$C$6)/$C$5</f>
        <v>115192.20507692308</v>
      </c>
      <c r="R26" s="216">
        <f ca="1">('Master Tab'!$F$6-$C$6)/$C$5</f>
        <v>115192.20507692308</v>
      </c>
      <c r="S26" s="216">
        <f ca="1">('Master Tab'!$F$6-$C$6)/$C$5</f>
        <v>115192.20507692308</v>
      </c>
      <c r="T26" s="216">
        <f ca="1">('Master Tab'!$F$6-$C$6)/$C$5</f>
        <v>115192.20507692308</v>
      </c>
      <c r="U26" s="216">
        <f ca="1">('Master Tab'!$F$6-$C$6)/$C$5</f>
        <v>115192.20507692308</v>
      </c>
      <c r="V26" s="216">
        <f ca="1">('Master Tab'!$F$6-$C$6)/$C$5</f>
        <v>115192.20507692308</v>
      </c>
      <c r="W26" s="216">
        <f ca="1">('Master Tab'!$F$6-$C$6)/$C$5</f>
        <v>115192.20507692308</v>
      </c>
      <c r="X26" s="216"/>
    </row>
    <row r="27" spans="1:24">
      <c r="E27" s="29"/>
      <c r="F27" s="219"/>
      <c r="G27" s="229"/>
      <c r="H27" s="229"/>
      <c r="I27" s="229"/>
      <c r="J27" s="229"/>
      <c r="K27" s="229"/>
      <c r="L27" s="216"/>
      <c r="M27" s="216"/>
      <c r="N27" s="216"/>
      <c r="O27" s="216"/>
      <c r="P27" s="216"/>
      <c r="Q27" s="216"/>
      <c r="R27" s="216"/>
      <c r="S27" s="216"/>
      <c r="T27" s="216"/>
      <c r="U27" s="216"/>
      <c r="V27" s="216"/>
      <c r="W27" s="216"/>
      <c r="X27" s="216"/>
    </row>
    <row r="28" spans="1:24" ht="15">
      <c r="E28" s="29"/>
      <c r="F28" s="217" t="s">
        <v>251</v>
      </c>
      <c r="G28" s="232"/>
      <c r="H28" s="232"/>
      <c r="I28" s="232">
        <f t="shared" ref="I28:W28" ca="1" si="4">I24-I26</f>
        <v>-400890.99926993367</v>
      </c>
      <c r="J28" s="232">
        <f t="shared" ca="1" si="4"/>
        <v>-411655.48143231624</v>
      </c>
      <c r="K28" s="232">
        <f t="shared" ca="1" si="4"/>
        <v>-422838.18288119411</v>
      </c>
      <c r="L28" s="218">
        <f t="shared" ca="1" si="4"/>
        <v>-434455.46158802719</v>
      </c>
      <c r="M28" s="218">
        <f t="shared" ca="1" si="4"/>
        <v>-446524.3187191335</v>
      </c>
      <c r="N28" s="218">
        <f t="shared" ca="1" si="4"/>
        <v>-459062.42402976414</v>
      </c>
      <c r="O28" s="218">
        <f t="shared" ca="1" si="4"/>
        <v>-472088.14226392831</v>
      </c>
      <c r="P28" s="218">
        <f t="shared" ca="1" si="4"/>
        <v>-485620.56059990084</v>
      </c>
      <c r="Q28" s="218">
        <f t="shared" ca="1" si="4"/>
        <v>-499679.51718292711</v>
      </c>
      <c r="R28" s="218">
        <f t="shared" ca="1" si="4"/>
        <v>-514285.63078829768</v>
      </c>
      <c r="S28" s="218">
        <f t="shared" ca="1" si="4"/>
        <v>-529460.33165967732</v>
      </c>
      <c r="T28" s="218">
        <f t="shared" ca="1" si="4"/>
        <v>-545225.89356936002</v>
      </c>
      <c r="U28" s="218">
        <f t="shared" ca="1" si="4"/>
        <v>-561605.46714898117</v>
      </c>
      <c r="V28" s="218">
        <f t="shared" ca="1" si="4"/>
        <v>-578623.11454114504</v>
      </c>
      <c r="W28" s="218">
        <f t="shared" ca="1" si="4"/>
        <v>-596303.84542443405</v>
      </c>
      <c r="X28" s="218"/>
    </row>
    <row r="29" spans="1:24">
      <c r="E29" s="29"/>
      <c r="F29" s="29"/>
      <c r="G29" s="228"/>
      <c r="H29" s="228"/>
      <c r="I29" s="228"/>
      <c r="J29" s="228"/>
      <c r="K29" s="228"/>
      <c r="L29" s="29"/>
      <c r="M29" s="29"/>
      <c r="N29" s="29"/>
      <c r="O29" s="29"/>
      <c r="P29" s="29"/>
      <c r="Q29" s="29"/>
      <c r="R29" s="29"/>
      <c r="S29" s="29"/>
      <c r="T29" s="29"/>
      <c r="U29" s="29"/>
      <c r="V29" s="29"/>
      <c r="W29" s="29"/>
      <c r="X29" s="29"/>
    </row>
    <row r="30" spans="1:24">
      <c r="F30" s="29"/>
      <c r="G30" s="228"/>
      <c r="H30" s="228"/>
      <c r="I30" s="228"/>
      <c r="J30" s="228"/>
      <c r="K30" s="228"/>
      <c r="L30" s="29"/>
      <c r="M30" s="29"/>
      <c r="N30" s="29"/>
      <c r="O30" s="29"/>
      <c r="P30" s="29"/>
      <c r="Q30" s="29"/>
      <c r="R30" s="29"/>
      <c r="S30" s="29"/>
      <c r="T30" s="29"/>
      <c r="U30" s="29"/>
      <c r="V30" s="29"/>
      <c r="W30" s="29"/>
      <c r="X30" s="29"/>
    </row>
    <row r="31" spans="1:24">
      <c r="G31" s="223"/>
      <c r="H31" s="223"/>
      <c r="I31" s="223"/>
      <c r="J31" s="223"/>
      <c r="K31" s="224"/>
      <c r="L31" s="224"/>
      <c r="M31" s="224"/>
      <c r="N31" s="224"/>
      <c r="O31" s="224"/>
      <c r="P31" s="224"/>
      <c r="Q31" s="224"/>
      <c r="R31" s="224"/>
      <c r="S31" s="224"/>
      <c r="T31" s="224"/>
      <c r="U31" s="224"/>
      <c r="V31" s="224"/>
      <c r="W31" s="224"/>
      <c r="X31" s="224"/>
    </row>
    <row r="32" spans="1:24">
      <c r="G32" s="223"/>
      <c r="H32" s="223"/>
      <c r="I32" s="223"/>
      <c r="J32" s="223"/>
      <c r="K32" s="224"/>
      <c r="L32" s="224"/>
      <c r="M32" s="224"/>
      <c r="N32" s="224"/>
      <c r="O32" s="224"/>
      <c r="P32" s="224"/>
      <c r="Q32" s="224"/>
      <c r="R32" s="224"/>
      <c r="S32" s="224"/>
      <c r="T32" s="224"/>
      <c r="U32" s="224"/>
      <c r="V32" s="224"/>
      <c r="W32" s="224"/>
      <c r="X32" s="224"/>
    </row>
    <row r="33" spans="7:24">
      <c r="G33" s="223"/>
      <c r="H33" s="223"/>
      <c r="I33" s="223"/>
      <c r="J33" s="223"/>
      <c r="K33" s="224"/>
      <c r="L33" s="224"/>
      <c r="M33" s="224"/>
      <c r="N33" s="224"/>
      <c r="O33" s="224"/>
      <c r="P33" s="224"/>
      <c r="Q33" s="224"/>
      <c r="R33" s="224"/>
      <c r="S33" s="224"/>
      <c r="T33" s="224"/>
      <c r="U33" s="224"/>
      <c r="V33" s="224"/>
      <c r="W33" s="224"/>
      <c r="X33" s="224"/>
    </row>
    <row r="34" spans="7:24">
      <c r="G34" s="223"/>
      <c r="H34" s="223"/>
      <c r="I34" s="223"/>
      <c r="J34" s="223"/>
      <c r="K34" s="224"/>
      <c r="L34" s="224"/>
      <c r="M34" s="224"/>
      <c r="N34" s="224"/>
      <c r="O34" s="224"/>
      <c r="P34" s="224"/>
      <c r="Q34" s="224"/>
      <c r="R34" s="224"/>
      <c r="S34" s="224"/>
      <c r="T34" s="224"/>
      <c r="U34" s="224"/>
      <c r="V34" s="224"/>
      <c r="W34" s="224"/>
      <c r="X34" s="224"/>
    </row>
  </sheetData>
  <mergeCells count="2">
    <mergeCell ref="G2:H2"/>
    <mergeCell ref="I2:W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Cover Page</vt:lpstr>
      <vt:lpstr>IS Analysis Full</vt:lpstr>
      <vt:lpstr>Assumptions</vt:lpstr>
      <vt:lpstr>IS Old</vt:lpstr>
      <vt:lpstr>IS Analysis</vt:lpstr>
      <vt:lpstr>Cash Flow Analysis</vt:lpstr>
      <vt:lpstr>Cash Flow Old</vt:lpstr>
      <vt:lpstr>MACRS DEP Tables</vt:lpstr>
      <vt:lpstr>Master Tab</vt:lpstr>
      <vt:lpstr>Cost of Ownership Calculation</vt:lpstr>
      <vt:lpstr>Gant Chart Old</vt:lpstr>
      <vt:lpstr>Dynamic Tracking Chart</vt:lpstr>
      <vt:lpstr>Growth Rate Predictions</vt:lpstr>
      <vt:lpstr>Data Center Job Stats</vt:lpstr>
      <vt:lpstr>Outfit Job Stats</vt:lpstr>
      <vt:lpstr>Maintenance</vt:lpstr>
      <vt:lpstr>US Data Center Statistics</vt:lpstr>
      <vt:lpstr>Helper Sheet</vt:lpstr>
      <vt:lpstr>Maintenance Oldl</vt:lpstr>
      <vt:lpstr>Load Bank Pricing Breakdown</vt:lpstr>
      <vt:lpstr>Accessory Needs Breakdown</vt:lpstr>
      <vt:lpstr>Accessories</vt:lpstr>
      <vt:lpstr>Alternative Accessory Pricing</vt:lpstr>
      <vt:lpstr>Load Bank Specs Breakdown</vt:lpstr>
      <vt:lpstr>Shipping Quotes</vt:lpstr>
      <vt:lpstr>CYS08 Load Bank Stats</vt:lpstr>
      <vt:lpstr>SAT 46 Load Bank Stats</vt:lpstr>
      <vt:lpstr>SAT 46 LB CO</vt:lpstr>
      <vt:lpstr>Fedora Manassas Load Bank Stats</vt:lpstr>
      <vt:lpstr>Fedora Ft. Worth Load Bank Stat</vt:lpstr>
      <vt:lpstr>SAT 46 LB CO #2</vt:lpstr>
      <vt:lpstr>Storage Analysis</vt:lpstr>
      <vt:lpstr>IS Analysis Isolated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Keyser</dc:creator>
  <cp:lastModifiedBy>Jason Keyser</cp:lastModifiedBy>
  <dcterms:created xsi:type="dcterms:W3CDTF">2022-01-31T17:07:57Z</dcterms:created>
  <dcterms:modified xsi:type="dcterms:W3CDTF">2022-04-19T17:44:01Z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fce600-f216-4cc7-aafe-0b1d064b8218_Enabled">
    <vt:lpwstr>true</vt:lpwstr>
  </property>
  <property fmtid="{D5CDD505-2E9C-101B-9397-08002B2CF9AE}" pid="3" name="MSIP_Label_3bfce600-f216-4cc7-aafe-0b1d064b8218_SetDate">
    <vt:lpwstr>2022-01-31T17:07:57Z</vt:lpwstr>
  </property>
  <property fmtid="{D5CDD505-2E9C-101B-9397-08002B2CF9AE}" pid="4" name="MSIP_Label_3bfce600-f216-4cc7-aafe-0b1d064b8218_Method">
    <vt:lpwstr>Standard</vt:lpwstr>
  </property>
  <property fmtid="{D5CDD505-2E9C-101B-9397-08002B2CF9AE}" pid="5" name="MSIP_Label_3bfce600-f216-4cc7-aafe-0b1d064b8218_Name">
    <vt:lpwstr>General</vt:lpwstr>
  </property>
  <property fmtid="{D5CDD505-2E9C-101B-9397-08002B2CF9AE}" pid="6" name="MSIP_Label_3bfce600-f216-4cc7-aafe-0b1d064b8218_SiteId">
    <vt:lpwstr>dbf4e8fa-62e2-48df-a79d-40d357e3b3d8</vt:lpwstr>
  </property>
  <property fmtid="{D5CDD505-2E9C-101B-9397-08002B2CF9AE}" pid="7" name="MSIP_Label_3bfce600-f216-4cc7-aafe-0b1d064b8218_ActionId">
    <vt:lpwstr>f2945730-552e-4da2-b8ac-1d411cbf89c8</vt:lpwstr>
  </property>
  <property fmtid="{D5CDD505-2E9C-101B-9397-08002B2CF9AE}" pid="8" name="MSIP_Label_3bfce600-f216-4cc7-aafe-0b1d064b8218_ContentBits">
    <vt:lpwstr>0</vt:lpwstr>
  </property>
</Properties>
</file>